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15345" windowHeight="4485" firstSheet="9" activeTab="10"/>
  </bookViews>
  <sheets>
    <sheet name="Sheet1" sheetId="2" r:id="rId1"/>
    <sheet name="Top10Products" sheetId="3" r:id="rId2"/>
    <sheet name="Category" sheetId="4" r:id="rId3"/>
    <sheet name="Sheet5" sheetId="7" r:id="rId4"/>
    <sheet name="Reagon" sheetId="8" r:id="rId5"/>
    <sheet name="Sheet7" sheetId="9" r:id="rId6"/>
    <sheet name="Sheet8" sheetId="10" r:id="rId7"/>
    <sheet name="Sheet9" sheetId="11" r:id="rId8"/>
    <sheet name="Sheet11" sheetId="13" r:id="rId9"/>
    <sheet name="Monthly Sales" sheetId="15" r:id="rId10"/>
    <sheet name="Dashboad" sheetId="16" r:id="rId11"/>
    <sheet name="Sheet12" sheetId="14" r:id="rId12"/>
    <sheet name="Sales_Data" sheetId="1" r:id="rId13"/>
  </sheets>
  <definedNames>
    <definedName name="_xlcn.WorksheetConnection_ECommerce_Sales_Dataset.xlsxTable11" hidden="1">Table1[]</definedName>
  </definedNames>
  <calcPr calcId="162913" calcMode="manual"/>
  <pivotCaches>
    <pivotCache cacheId="57" r:id="rId14"/>
    <pivotCache cacheId="60" r:id="rId1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ECommerce_Sales_Dataset.xlsx!Table1"/>
        </x15:modelTables>
      </x15:dataModel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D4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Commerce_Sales_Dataset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Sales_Dataset.xlsxTable11"/>
        </x15:connection>
      </ext>
    </extLst>
  </connection>
</connections>
</file>

<file path=xl/sharedStrings.xml><?xml version="1.0" encoding="utf-8"?>
<sst xmlns="http://schemas.openxmlformats.org/spreadsheetml/2006/main" count="1131" uniqueCount="228">
  <si>
    <t>Order ID</t>
  </si>
  <si>
    <t>Order Date</t>
  </si>
  <si>
    <t>Customer Name</t>
  </si>
  <si>
    <t>Region</t>
  </si>
  <si>
    <t>Category</t>
  </si>
  <si>
    <t>Product</t>
  </si>
  <si>
    <t>Quantity</t>
  </si>
  <si>
    <t>Unit Price</t>
  </si>
  <si>
    <t>Sales</t>
  </si>
  <si>
    <t>Profit</t>
  </si>
  <si>
    <t>Payment Method</t>
  </si>
  <si>
    <t>ORD0001</t>
  </si>
  <si>
    <t>Nimali Silva</t>
  </si>
  <si>
    <t>Sabaragamuwa</t>
  </si>
  <si>
    <t>Electronics</t>
  </si>
  <si>
    <t>Laptop</t>
  </si>
  <si>
    <t>Cash</t>
  </si>
  <si>
    <t>ORD0002</t>
  </si>
  <si>
    <t>Kasun Perera</t>
  </si>
  <si>
    <t>Stationery</t>
  </si>
  <si>
    <t>Notebook</t>
  </si>
  <si>
    <t>Card</t>
  </si>
  <si>
    <t>ORD0003</t>
  </si>
  <si>
    <t>Amaya Fernando</t>
  </si>
  <si>
    <t>North Central</t>
  </si>
  <si>
    <t>Pen Set</t>
  </si>
  <si>
    <t>Bank Transfer</t>
  </si>
  <si>
    <t>ORD0004</t>
  </si>
  <si>
    <t>Piumi Silva</t>
  </si>
  <si>
    <t>Central</t>
  </si>
  <si>
    <t>Accessories</t>
  </si>
  <si>
    <t>Mouse</t>
  </si>
  <si>
    <t>ORD0005</t>
  </si>
  <si>
    <t>USB Cable</t>
  </si>
  <si>
    <t>ORD0006</t>
  </si>
  <si>
    <t>Sahan Kumara</t>
  </si>
  <si>
    <t>ORD0007</t>
  </si>
  <si>
    <t>Tharushi Perera</t>
  </si>
  <si>
    <t>North Western</t>
  </si>
  <si>
    <t>Monitor</t>
  </si>
  <si>
    <t>ORD0008</t>
  </si>
  <si>
    <t>Uva</t>
  </si>
  <si>
    <t>Keyboard</t>
  </si>
  <si>
    <t>Online</t>
  </si>
  <si>
    <t>ORD0009</t>
  </si>
  <si>
    <t>Dilan Jayasinghe</t>
  </si>
  <si>
    <t>Western</t>
  </si>
  <si>
    <t>ORD0010</t>
  </si>
  <si>
    <t>Northern</t>
  </si>
  <si>
    <t>Planner</t>
  </si>
  <si>
    <t>ORD0011</t>
  </si>
  <si>
    <t>Nethmi Wijesinghe</t>
  </si>
  <si>
    <t>Eastern</t>
  </si>
  <si>
    <t>File Folder</t>
  </si>
  <si>
    <t>ORD0012</t>
  </si>
  <si>
    <t>ORD0013</t>
  </si>
  <si>
    <t>Chamod Senanayake</t>
  </si>
  <si>
    <t>Home</t>
  </si>
  <si>
    <t>Desk</t>
  </si>
  <si>
    <t>ORD0014</t>
  </si>
  <si>
    <t>ORD0015</t>
  </si>
  <si>
    <t>ORD0016</t>
  </si>
  <si>
    <t>Headphones</t>
  </si>
  <si>
    <t>ORD0017</t>
  </si>
  <si>
    <t>Webcam</t>
  </si>
  <si>
    <t>ORD0018</t>
  </si>
  <si>
    <t>Southern</t>
  </si>
  <si>
    <t>Office Chair</t>
  </si>
  <si>
    <t>ORD0019</t>
  </si>
  <si>
    <t>ORD0020</t>
  </si>
  <si>
    <t>ORD0021</t>
  </si>
  <si>
    <t>Smartphone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</si>
  <si>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</si>
  <si>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</si>
  <si>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</si>
  <si>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</si>
  <si>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</si>
  <si>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</si>
  <si>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</si>
  <si>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</si>
  <si>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</si>
  <si>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</si>
  <si>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</si>
  <si>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</si>
  <si>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</si>
  <si>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</si>
  <si>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</si>
  <si>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</si>
  <si>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Ravindu Fernando</t>
  </si>
  <si>
    <t>Table Lamp</t>
  </si>
  <si>
    <t>ORD0038</t>
  </si>
  <si>
    <t>ORD0039</t>
  </si>
  <si>
    <t>ORD0040</t>
  </si>
  <si>
    <t>Bookshelf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</si>
  <si>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</si>
  <si>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</si>
  <si>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</si>
  <si>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</si>
  <si>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</si>
  <si>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</si>
  <si>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</si>
  <si>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</si>
  <si>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</si>
  <si>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</si>
  <si>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</si>
  <si>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</si>
  <si>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</si>
  <si>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</si>
  <si>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</si>
  <si>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</si>
  <si>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</si>
  <si>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</si>
  <si>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</si>
  <si>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</si>
  <si>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</si>
  <si>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</si>
  <si>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</si>
  <si>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</si>
  <si>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</si>
  <si>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</si>
  <si>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</si>
  <si>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</si>
  <si>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</si>
  <si>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</si>
  <si>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</si>
  <si>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</si>
  <si>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</si>
  <si>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</si>
  <si>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</si>
  <si>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</si>
  <si>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</si>
  <si>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</si>
  <si>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</si>
  <si>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</si>
  <si>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</si>
  <si>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</si>
  <si>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</si>
  <si>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</si>
  <si>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</si>
  <si>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</si>
  <si>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</si>
  <si>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</si>
  <si>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</si>
  <si>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</si>
  <si>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</si>
  <si>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</si>
  <si>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</si>
  <si>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</si>
  <si>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</si>
  <si>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</si>
  <si>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</si>
  <si>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</si>
  <si>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</si>
  <si>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</si>
  <si>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</si>
  <si>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</si>
  <si>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</si>
  <si>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</si>
  <si>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</si>
  <si>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</si>
  <si>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</si>
  <si>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</si>
  <si>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</si>
  <si>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</si>
  <si>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</si>
  <si>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</si>
  <si>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</si>
  <si>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</si>
  <si>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</si>
  <si>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</si>
  <si>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</si>
  <si>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</si>
  <si>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</si>
  <si>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</si>
  <si>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</si>
  <si>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</si>
  <si>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</si>
  <si>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</si>
  <si>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</si>
  <si>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</si>
  <si>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</si>
  <si>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</si>
  <si>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</si>
  <si>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</si>
  <si>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</si>
  <si>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</si>
  <si>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</si>
  <si>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</si>
  <si>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</si>
  <si>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</si>
  <si>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</si>
  <si>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</si>
  <si>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</si>
  <si>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</si>
  <si>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</si>
  <si>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</si>
  <si>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</si>
  <si>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</si>
  <si>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</si>
  <si>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</si>
  <si>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</si>
  <si>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</si>
  <si>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</si>
  <si>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</si>
  <si>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Sales Check</t>
  </si>
  <si>
    <t>Sum of Sales</t>
  </si>
  <si>
    <t>Sum of Profit</t>
  </si>
  <si>
    <t>Count of Order ID</t>
  </si>
  <si>
    <t>Average Order Value</t>
  </si>
  <si>
    <t>Row Labels</t>
  </si>
  <si>
    <t>Grand Total</t>
  </si>
  <si>
    <t>Months</t>
  </si>
  <si>
    <t>Sum of Unit Price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</si>
  <si>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</si>
  <si>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</si>
  <si>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</si>
  <si>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</si>
  <si>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</si>
  <si>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</si>
  <si>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</si>
  <si>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</si>
  <si>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Total Sales</t>
  </si>
  <si>
    <t>LKR 17,488,334.75</t>
  </si>
  <si>
    <t>Total Profit</t>
  </si>
  <si>
    <t>LKR 2,994,964.23</t>
  </si>
  <si>
    <t>Total Orders</t>
  </si>
  <si>
    <t>LKR 116,588.90</t>
  </si>
  <si>
    <t>E-Commerce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</si>
</sst>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0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NumberFormat="1"/>
    <xf numFmtId="0" fontId="2" fillId="2" borderId="1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 analysis Dashboard.xlsx]Sheet1!PivotTable1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Sheet1!$A$4</c:f>
              <c:numCache>
                <c:formatCode>General</c:formatCode>
                <c:ptCount val="1"/>
                <c:pt idx="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F-4647-AF66-CCDEEA879E1B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17488334.749999996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F-4647-AF66-CCDEEA879E1B}"/>
            </c:ext>
          </c:extLst>
        </c:ser>
        <c:ser>
          <c:idx val="2"/>
          <c:order val="2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Sheet1!$C$4</c:f>
              <c:numCache>
                <c:formatCode>General</c:formatCode>
                <c:ptCount val="1"/>
                <c:pt idx="0">
                  <c:v>2994964.2300000014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0F-4647-AF66-CCDEEA879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516911"/>
        <c:axId val="1095521071"/>
      </c:barChart>
      <c:catAx>
        <c:axId val="109551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21071"/>
        <c:crosses val="autoZero"/>
        <c:auto val="1"/>
        <c:lblAlgn val="ctr"/>
        <c:lblOffset val="100"/>
        <c:noMultiLvlLbl val="0"/>
      </c:catAx>
      <c:valAx>
        <c:axId val="10955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1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 analysis Dashboard.xlsx]Sheet8!PivotTable7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Sheet8!$A$4:$A$120</c:f>
              <c:strCache>
                <c:ptCount val="116"/>
                <c:pt idx="0">
                  <c:v>2026-01-02 00:00:00</c:v>
                </c:pt>
                <c:pt idx="1">
                  <c:v>2026-01-06 00:00:00</c:v>
                </c:pt>
                <c:pt idx="2">
                  <c:v>2026-01-08 00:00:00</c:v>
                </c:pt>
                <c:pt idx="3">
                  <c:v>2026-01-09 00:00:00</c:v>
                </c:pt>
                <c:pt idx="4">
                  <c:v>2026-01-10 00:00:00</c:v>
                </c:pt>
                <c:pt idx="5">
                  <c:v>2026-01-14 00:00:00</c:v>
                </c:pt>
                <c:pt idx="6">
                  <c:v>2026-01-15 00:00:00</c:v>
                </c:pt>
                <c:pt idx="7">
                  <c:v>2026-01-22 00:00:00</c:v>
                </c:pt>
                <c:pt idx="8">
                  <c:v>2026-01-24 00:00:00</c:v>
                </c:pt>
                <c:pt idx="9">
                  <c:v>2026-01-25 00:00:00</c:v>
                </c:pt>
                <c:pt idx="10">
                  <c:v>2026-01-26 00:00:00</c:v>
                </c:pt>
                <c:pt idx="11">
                  <c:v>2026-02-01 00:00:00</c:v>
                </c:pt>
                <c:pt idx="12">
                  <c:v>2026-02-03 00:00:00</c:v>
                </c:pt>
                <c:pt idx="13">
                  <c:v>2026-02-05 00:00:00</c:v>
                </c:pt>
                <c:pt idx="14">
                  <c:v>2026-02-06 00:00:00</c:v>
                </c:pt>
                <c:pt idx="15">
                  <c:v>2026-02-08 00:00:00</c:v>
                </c:pt>
                <c:pt idx="16">
                  <c:v>2026-02-09 00:00:00</c:v>
                </c:pt>
                <c:pt idx="17">
                  <c:v>2026-02-11 00:00:00</c:v>
                </c:pt>
                <c:pt idx="18">
                  <c:v>2026-02-12 00:00:00</c:v>
                </c:pt>
                <c:pt idx="19">
                  <c:v>2026-02-14 00:00:00</c:v>
                </c:pt>
                <c:pt idx="20">
                  <c:v>2026-02-19 00:00:00</c:v>
                </c:pt>
                <c:pt idx="21">
                  <c:v>2026-02-20 00:00:00</c:v>
                </c:pt>
                <c:pt idx="22">
                  <c:v>2026-02-23 00:00:00</c:v>
                </c:pt>
                <c:pt idx="23">
                  <c:v>2026-02-24 00:00:00</c:v>
                </c:pt>
                <c:pt idx="24">
                  <c:v>2026-02-26 00:00:00</c:v>
                </c:pt>
                <c:pt idx="25">
                  <c:v>2026-03-04 00:00:00</c:v>
                </c:pt>
                <c:pt idx="26">
                  <c:v>2026-03-05 00:00:00</c:v>
                </c:pt>
                <c:pt idx="27">
                  <c:v>2026-03-06 00:00:00</c:v>
                </c:pt>
                <c:pt idx="28">
                  <c:v>2026-03-07 00:00:00</c:v>
                </c:pt>
                <c:pt idx="29">
                  <c:v>2026-03-08 00:00:00</c:v>
                </c:pt>
                <c:pt idx="30">
                  <c:v>2026-03-10 00:00:00</c:v>
                </c:pt>
                <c:pt idx="31">
                  <c:v>2026-03-12 00:00:00</c:v>
                </c:pt>
                <c:pt idx="32">
                  <c:v>2026-03-13 00:00:00</c:v>
                </c:pt>
                <c:pt idx="33">
                  <c:v>2026-03-18 00:00:00</c:v>
                </c:pt>
                <c:pt idx="34">
                  <c:v>2026-03-20 00:00:00</c:v>
                </c:pt>
                <c:pt idx="35">
                  <c:v>2026-03-22 00:00:00</c:v>
                </c:pt>
                <c:pt idx="36">
                  <c:v>2026-03-24 00:00:00</c:v>
                </c:pt>
                <c:pt idx="37">
                  <c:v>2026-03-25 00:00:00</c:v>
                </c:pt>
                <c:pt idx="38">
                  <c:v>2026-03-26 00:00:00</c:v>
                </c:pt>
                <c:pt idx="39">
                  <c:v>2026-03-27 00:00:00</c:v>
                </c:pt>
                <c:pt idx="40">
                  <c:v>2026-03-28 00:00:00</c:v>
                </c:pt>
                <c:pt idx="41">
                  <c:v>2026-03-29 00:00:00</c:v>
                </c:pt>
                <c:pt idx="42">
                  <c:v>2026-03-31 00:00:00</c:v>
                </c:pt>
                <c:pt idx="43">
                  <c:v>2026-04-01 00:00:00</c:v>
                </c:pt>
                <c:pt idx="44">
                  <c:v>2026-04-02 00:00:00</c:v>
                </c:pt>
                <c:pt idx="45">
                  <c:v>2026-04-04 00:00:00</c:v>
                </c:pt>
                <c:pt idx="46">
                  <c:v>2026-04-06 00:00:00</c:v>
                </c:pt>
                <c:pt idx="47">
                  <c:v>2026-04-07 00:00:00</c:v>
                </c:pt>
                <c:pt idx="48">
                  <c:v>2026-04-08 00:00:00</c:v>
                </c:pt>
                <c:pt idx="49">
                  <c:v>2026-04-10 00:00:00</c:v>
                </c:pt>
                <c:pt idx="50">
                  <c:v>2026-04-12 00:00:00</c:v>
                </c:pt>
                <c:pt idx="51">
                  <c:v>2026-04-13 00:00:00</c:v>
                </c:pt>
                <c:pt idx="52">
                  <c:v>2026-04-14 00:00:00</c:v>
                </c:pt>
                <c:pt idx="53">
                  <c:v>2026-04-15 00:00:00</c:v>
                </c:pt>
                <c:pt idx="54">
                  <c:v>2026-04-17 00:00:00</c:v>
                </c:pt>
                <c:pt idx="55">
                  <c:v>2026-04-18 00:00:00</c:v>
                </c:pt>
                <c:pt idx="56">
                  <c:v>2026-04-20 00:00:00</c:v>
                </c:pt>
                <c:pt idx="57">
                  <c:v>2026-04-21 00:00:00</c:v>
                </c:pt>
                <c:pt idx="58">
                  <c:v>2026-04-24 00:00:00</c:v>
                </c:pt>
                <c:pt idx="59">
                  <c:v>2026-04-27 00:00:00</c:v>
                </c:pt>
                <c:pt idx="60">
                  <c:v>2026-05-05 00:00:00</c:v>
                </c:pt>
                <c:pt idx="61">
                  <c:v>2026-05-07 00:00:00</c:v>
                </c:pt>
                <c:pt idx="62">
                  <c:v>2026-05-09 00:00:00</c:v>
                </c:pt>
                <c:pt idx="63">
                  <c:v>2026-05-10 00:00:00</c:v>
                </c:pt>
                <c:pt idx="64">
                  <c:v>2026-05-14 00:00:00</c:v>
                </c:pt>
                <c:pt idx="65">
                  <c:v>2026-05-15 00:00:00</c:v>
                </c:pt>
                <c:pt idx="66">
                  <c:v>2026-05-16 00:00:00</c:v>
                </c:pt>
                <c:pt idx="67">
                  <c:v>2026-05-17 00:00:00</c:v>
                </c:pt>
                <c:pt idx="68">
                  <c:v>2026-05-18 00:00:00</c:v>
                </c:pt>
                <c:pt idx="69">
                  <c:v>2026-05-21 00:00:00</c:v>
                </c:pt>
                <c:pt idx="70">
                  <c:v>2026-05-22 00:00:00</c:v>
                </c:pt>
                <c:pt idx="71">
                  <c:v>2026-05-23 00:00:00</c:v>
                </c:pt>
                <c:pt idx="72">
                  <c:v>2026-05-24 00:00:00</c:v>
                </c:pt>
                <c:pt idx="73">
                  <c:v>2026-05-25 00:00:00</c:v>
                </c:pt>
                <c:pt idx="74">
                  <c:v>2026-05-28 00:00:00</c:v>
                </c:pt>
                <c:pt idx="75">
                  <c:v>2026-06-02 00:00:00</c:v>
                </c:pt>
                <c:pt idx="76">
                  <c:v>2026-06-03 00:00:00</c:v>
                </c:pt>
                <c:pt idx="77">
                  <c:v>2026-06-04 00:00:00</c:v>
                </c:pt>
                <c:pt idx="78">
                  <c:v>2026-06-06 00:00:00</c:v>
                </c:pt>
                <c:pt idx="79">
                  <c:v>2026-06-09 00:00:00</c:v>
                </c:pt>
                <c:pt idx="80">
                  <c:v>2026-06-11 00:00:00</c:v>
                </c:pt>
                <c:pt idx="81">
                  <c:v>2026-06-12 00:00:00</c:v>
                </c:pt>
                <c:pt idx="82">
                  <c:v>2026-06-15 00:00:00</c:v>
                </c:pt>
                <c:pt idx="83">
                  <c:v>2026-06-16 00:00:00</c:v>
                </c:pt>
                <c:pt idx="84">
                  <c:v>2026-06-18 00:00:00</c:v>
                </c:pt>
                <c:pt idx="85">
                  <c:v>2026-06-19 00:00:00</c:v>
                </c:pt>
                <c:pt idx="86">
                  <c:v>2026-06-21 00:00:00</c:v>
                </c:pt>
                <c:pt idx="87">
                  <c:v>2026-06-22 00:00:00</c:v>
                </c:pt>
                <c:pt idx="88">
                  <c:v>2026-06-23 00:00:00</c:v>
                </c:pt>
                <c:pt idx="89">
                  <c:v>2026-06-25 00:00:00</c:v>
                </c:pt>
                <c:pt idx="90">
                  <c:v>2026-06-29 00:00:00</c:v>
                </c:pt>
                <c:pt idx="91">
                  <c:v>2026-06-30 00:00:00</c:v>
                </c:pt>
                <c:pt idx="92">
                  <c:v>2026-07-01 00:00:00</c:v>
                </c:pt>
                <c:pt idx="93">
                  <c:v>2026-07-04 00:00:00</c:v>
                </c:pt>
                <c:pt idx="94">
                  <c:v>2026-07-08 00:00:00</c:v>
                </c:pt>
                <c:pt idx="95">
                  <c:v>2026-07-11 00:00:00</c:v>
                </c:pt>
                <c:pt idx="96">
                  <c:v>2026-07-12 00:00:00</c:v>
                </c:pt>
                <c:pt idx="97">
                  <c:v>2026-07-14 00:00:00</c:v>
                </c:pt>
                <c:pt idx="98">
                  <c:v>2026-07-16 00:00:00</c:v>
                </c:pt>
                <c:pt idx="99">
                  <c:v>2026-07-17 00:00:00</c:v>
                </c:pt>
                <c:pt idx="100">
                  <c:v>2026-07-21 00:00:00</c:v>
                </c:pt>
                <c:pt idx="101">
                  <c:v>2026-07-22 00:00:00</c:v>
                </c:pt>
                <c:pt idx="102">
                  <c:v>2026-07-23 00:00:00</c:v>
                </c:pt>
                <c:pt idx="103">
                  <c:v>2026-07-25 00:00:00</c:v>
                </c:pt>
                <c:pt idx="104">
                  <c:v>2026-07-26 00:00:00</c:v>
                </c:pt>
                <c:pt idx="105">
                  <c:v>2026-07-27 00:00:00</c:v>
                </c:pt>
                <c:pt idx="106">
                  <c:v>2026-07-30 00:00:00</c:v>
                </c:pt>
                <c:pt idx="107">
                  <c:v>2026-08-01 00:00:00</c:v>
                </c:pt>
                <c:pt idx="108">
                  <c:v>2026-08-06 00:00:00</c:v>
                </c:pt>
                <c:pt idx="109">
                  <c:v>2026-08-08 00:00:00</c:v>
                </c:pt>
                <c:pt idx="110">
                  <c:v>2026-08-10 00:00:00</c:v>
                </c:pt>
                <c:pt idx="111">
                  <c:v>2026-08-11 00:00:00</c:v>
                </c:pt>
                <c:pt idx="112">
                  <c:v>2026-08-13 00:00:00</c:v>
                </c:pt>
                <c:pt idx="113">
                  <c:v>2026-08-14 00:00:00</c:v>
                </c:pt>
                <c:pt idx="114">
                  <c:v>2026-08-17 00:00:00</c:v>
                </c:pt>
                <c:pt idx="115">
                  <c:v>2026-08-19 00:00:00</c:v>
                </c:pt>
              </c:strCache>
            </c:strRef>
          </c:cat>
          <c:val>
            <c:numRef>
              <c:f>Sheet8!$B$4:$B$120</c:f>
              <c:numCache>
                <c:formatCode>General</c:formatCode>
                <c:ptCount val="116"/>
                <c:pt idx="0">
                  <c:v>27161.539999999997</c:v>
                </c:pt>
                <c:pt idx="1">
                  <c:v>608299.26</c:v>
                </c:pt>
                <c:pt idx="2">
                  <c:v>119934.57</c:v>
                </c:pt>
                <c:pt idx="3">
                  <c:v>228332.32</c:v>
                </c:pt>
                <c:pt idx="4">
                  <c:v>10601.94</c:v>
                </c:pt>
                <c:pt idx="5">
                  <c:v>258382.15</c:v>
                </c:pt>
                <c:pt idx="6">
                  <c:v>37629.42</c:v>
                </c:pt>
                <c:pt idx="7">
                  <c:v>171087.6</c:v>
                </c:pt>
                <c:pt idx="8">
                  <c:v>225394.30000000002</c:v>
                </c:pt>
                <c:pt idx="9">
                  <c:v>3821.4</c:v>
                </c:pt>
                <c:pt idx="10">
                  <c:v>17839</c:v>
                </c:pt>
                <c:pt idx="11">
                  <c:v>30344.43</c:v>
                </c:pt>
                <c:pt idx="12">
                  <c:v>165628.59</c:v>
                </c:pt>
                <c:pt idx="13">
                  <c:v>22519.64</c:v>
                </c:pt>
                <c:pt idx="14">
                  <c:v>529984.80000000005</c:v>
                </c:pt>
                <c:pt idx="15">
                  <c:v>1098.06</c:v>
                </c:pt>
                <c:pt idx="16">
                  <c:v>338353.96</c:v>
                </c:pt>
                <c:pt idx="17">
                  <c:v>203959.41</c:v>
                </c:pt>
                <c:pt idx="18">
                  <c:v>395159.32</c:v>
                </c:pt>
                <c:pt idx="19">
                  <c:v>356710.70999999996</c:v>
                </c:pt>
                <c:pt idx="20">
                  <c:v>7484</c:v>
                </c:pt>
                <c:pt idx="21">
                  <c:v>24829.42</c:v>
                </c:pt>
                <c:pt idx="22">
                  <c:v>74672.149999999994</c:v>
                </c:pt>
                <c:pt idx="23">
                  <c:v>129673.86</c:v>
                </c:pt>
                <c:pt idx="24">
                  <c:v>180504.8</c:v>
                </c:pt>
                <c:pt idx="25">
                  <c:v>62770.37</c:v>
                </c:pt>
                <c:pt idx="26">
                  <c:v>7775.44</c:v>
                </c:pt>
                <c:pt idx="27">
                  <c:v>63513.75</c:v>
                </c:pt>
                <c:pt idx="28">
                  <c:v>1786.02</c:v>
                </c:pt>
                <c:pt idx="29">
                  <c:v>339113.44</c:v>
                </c:pt>
                <c:pt idx="30">
                  <c:v>55278.44</c:v>
                </c:pt>
                <c:pt idx="31">
                  <c:v>553901.88</c:v>
                </c:pt>
                <c:pt idx="32">
                  <c:v>4911.04</c:v>
                </c:pt>
                <c:pt idx="33">
                  <c:v>182959.92</c:v>
                </c:pt>
                <c:pt idx="34">
                  <c:v>2251.2600000000002</c:v>
                </c:pt>
                <c:pt idx="35">
                  <c:v>28961.46</c:v>
                </c:pt>
                <c:pt idx="36">
                  <c:v>5447.85</c:v>
                </c:pt>
                <c:pt idx="37">
                  <c:v>122953.41</c:v>
                </c:pt>
                <c:pt idx="38">
                  <c:v>11761.52</c:v>
                </c:pt>
                <c:pt idx="39">
                  <c:v>249886.81</c:v>
                </c:pt>
                <c:pt idx="40">
                  <c:v>26471.56</c:v>
                </c:pt>
                <c:pt idx="41">
                  <c:v>81825.600000000006</c:v>
                </c:pt>
                <c:pt idx="42">
                  <c:v>848367.8</c:v>
                </c:pt>
                <c:pt idx="43">
                  <c:v>4552.8500000000004</c:v>
                </c:pt>
                <c:pt idx="44">
                  <c:v>11578.5</c:v>
                </c:pt>
                <c:pt idx="45">
                  <c:v>137449.34</c:v>
                </c:pt>
                <c:pt idx="46">
                  <c:v>108165.54</c:v>
                </c:pt>
                <c:pt idx="47">
                  <c:v>2614.87</c:v>
                </c:pt>
                <c:pt idx="48">
                  <c:v>411765.83999999997</c:v>
                </c:pt>
                <c:pt idx="49">
                  <c:v>51097.36</c:v>
                </c:pt>
                <c:pt idx="50">
                  <c:v>203685.34</c:v>
                </c:pt>
                <c:pt idx="51">
                  <c:v>1375.86</c:v>
                </c:pt>
                <c:pt idx="52">
                  <c:v>191854.35</c:v>
                </c:pt>
                <c:pt idx="53">
                  <c:v>133058.94</c:v>
                </c:pt>
                <c:pt idx="54">
                  <c:v>160492.15</c:v>
                </c:pt>
                <c:pt idx="55">
                  <c:v>22873.759999999998</c:v>
                </c:pt>
                <c:pt idx="56">
                  <c:v>75729.760000000009</c:v>
                </c:pt>
                <c:pt idx="57">
                  <c:v>3783.56</c:v>
                </c:pt>
                <c:pt idx="58">
                  <c:v>295734.55</c:v>
                </c:pt>
                <c:pt idx="59">
                  <c:v>89421.14</c:v>
                </c:pt>
                <c:pt idx="60">
                  <c:v>61116.08</c:v>
                </c:pt>
                <c:pt idx="61">
                  <c:v>3958.08</c:v>
                </c:pt>
                <c:pt idx="62">
                  <c:v>2105.5500000000002</c:v>
                </c:pt>
                <c:pt idx="63">
                  <c:v>17637.5</c:v>
                </c:pt>
                <c:pt idx="64">
                  <c:v>2453.9699999999998</c:v>
                </c:pt>
                <c:pt idx="65">
                  <c:v>9136.1200000000008</c:v>
                </c:pt>
                <c:pt idx="66">
                  <c:v>895821.95</c:v>
                </c:pt>
                <c:pt idx="67">
                  <c:v>18249.810000000001</c:v>
                </c:pt>
                <c:pt idx="68">
                  <c:v>236506.26</c:v>
                </c:pt>
                <c:pt idx="69">
                  <c:v>889.76</c:v>
                </c:pt>
                <c:pt idx="70">
                  <c:v>266707.18</c:v>
                </c:pt>
                <c:pt idx="71">
                  <c:v>90085.759999999995</c:v>
                </c:pt>
                <c:pt idx="72">
                  <c:v>345236.04</c:v>
                </c:pt>
                <c:pt idx="73">
                  <c:v>512305.44</c:v>
                </c:pt>
                <c:pt idx="74">
                  <c:v>5204.32</c:v>
                </c:pt>
                <c:pt idx="75">
                  <c:v>312797.26</c:v>
                </c:pt>
                <c:pt idx="76">
                  <c:v>3636.92</c:v>
                </c:pt>
                <c:pt idx="77">
                  <c:v>1102.49</c:v>
                </c:pt>
                <c:pt idx="78">
                  <c:v>27735.48</c:v>
                </c:pt>
                <c:pt idx="79">
                  <c:v>200384.96</c:v>
                </c:pt>
                <c:pt idx="80">
                  <c:v>448420.65</c:v>
                </c:pt>
                <c:pt idx="81">
                  <c:v>1966.23</c:v>
                </c:pt>
                <c:pt idx="82">
                  <c:v>3825.48</c:v>
                </c:pt>
                <c:pt idx="83">
                  <c:v>3073.52</c:v>
                </c:pt>
                <c:pt idx="84">
                  <c:v>2538.96</c:v>
                </c:pt>
                <c:pt idx="85">
                  <c:v>7805.94</c:v>
                </c:pt>
                <c:pt idx="86">
                  <c:v>469790.75999999995</c:v>
                </c:pt>
                <c:pt idx="87">
                  <c:v>3626.34</c:v>
                </c:pt>
                <c:pt idx="88">
                  <c:v>71772.649999999994</c:v>
                </c:pt>
                <c:pt idx="89">
                  <c:v>110516.75</c:v>
                </c:pt>
                <c:pt idx="90">
                  <c:v>9248.7199999999993</c:v>
                </c:pt>
                <c:pt idx="91">
                  <c:v>412881.64</c:v>
                </c:pt>
                <c:pt idx="92">
                  <c:v>169474.32</c:v>
                </c:pt>
                <c:pt idx="93">
                  <c:v>5953.24</c:v>
                </c:pt>
                <c:pt idx="94">
                  <c:v>1215396.69</c:v>
                </c:pt>
                <c:pt idx="95">
                  <c:v>24623.43</c:v>
                </c:pt>
                <c:pt idx="96">
                  <c:v>164186.88</c:v>
                </c:pt>
                <c:pt idx="97">
                  <c:v>43948.02</c:v>
                </c:pt>
                <c:pt idx="98">
                  <c:v>1163114.28</c:v>
                </c:pt>
                <c:pt idx="99">
                  <c:v>35642.519999999997</c:v>
                </c:pt>
                <c:pt idx="100">
                  <c:v>12231.77</c:v>
                </c:pt>
                <c:pt idx="101">
                  <c:v>6816.12</c:v>
                </c:pt>
                <c:pt idx="102">
                  <c:v>61709.94</c:v>
                </c:pt>
                <c:pt idx="103">
                  <c:v>43400.24</c:v>
                </c:pt>
                <c:pt idx="104">
                  <c:v>2631.3</c:v>
                </c:pt>
                <c:pt idx="105">
                  <c:v>661905.28</c:v>
                </c:pt>
                <c:pt idx="106">
                  <c:v>45647.7</c:v>
                </c:pt>
                <c:pt idx="107">
                  <c:v>12913.23</c:v>
                </c:pt>
                <c:pt idx="108">
                  <c:v>154763.67000000001</c:v>
                </c:pt>
                <c:pt idx="109">
                  <c:v>36962.699999999997</c:v>
                </c:pt>
                <c:pt idx="110">
                  <c:v>256943.32</c:v>
                </c:pt>
                <c:pt idx="111">
                  <c:v>37178.199999999997</c:v>
                </c:pt>
                <c:pt idx="112">
                  <c:v>1695.95</c:v>
                </c:pt>
                <c:pt idx="113">
                  <c:v>39363.599999999999</c:v>
                </c:pt>
                <c:pt idx="114">
                  <c:v>4756.33</c:v>
                </c:pt>
                <c:pt idx="115">
                  <c:v>3959.52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16-4C4E-BA5F-FC48EC963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487295"/>
        <c:axId val="1052488543"/>
      </c:barChart>
      <c:catAx>
        <c:axId val="105248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88543"/>
        <c:crosses val="autoZero"/>
        <c:auto val="1"/>
        <c:lblAlgn val="ctr"/>
        <c:lblOffset val="100"/>
        <c:noMultiLvlLbl val="0"/>
      </c:catAx>
      <c:valAx>
        <c:axId val="105248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8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 analysis Dashboard.xlsx]Sheet9!PivotTable8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739935"/>
        <c:axId val="1249744927"/>
      </c:barChart>
      <c:catAx>
        <c:axId val="1249739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44927"/>
        <c:crosses val="autoZero"/>
        <c:auto val="1"/>
        <c:lblAlgn val="ctr"/>
        <c:lblOffset val="100"/>
        <c:noMultiLvlLbl val="0"/>
      </c:catAx>
      <c:valAx>
        <c:axId val="124974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3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 analysis Dashboard.xlsx]Sheet11!PivotTable10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738687"/>
        <c:axId val="1249740351"/>
      </c:barChart>
      <c:catAx>
        <c:axId val="12497386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40351"/>
        <c:crosses val="autoZero"/>
        <c:auto val="1"/>
        <c:lblAlgn val="ctr"/>
        <c:lblOffset val="100"/>
        <c:noMultiLvlLbl val="0"/>
      </c:catAx>
      <c:valAx>
        <c:axId val="124974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 analysis Dashboard.xlsx]Monthly Sales!PivotTable12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Sales'!$A$4:$A$12</c:f>
              <c:strCache>
                <c:ptCount val="8"/>
                <c:pt idx="0">
                  <c:v>April</c:v>
                </c:pt>
                <c:pt idx="1">
                  <c:v>August</c:v>
                </c:pt>
                <c:pt idx="2">
                  <c:v>February</c:v>
                </c:pt>
                <c:pt idx="3">
                  <c:v>January</c:v>
                </c:pt>
                <c:pt idx="4">
                  <c:v>July</c:v>
                </c:pt>
                <c:pt idx="5">
                  <c:v>June</c:v>
                </c:pt>
                <c:pt idx="6">
                  <c:v>March</c:v>
                </c:pt>
                <c:pt idx="7">
                  <c:v>May</c:v>
                </c:pt>
              </c:strCache>
            </c:strRef>
          </c:cat>
          <c:val>
            <c:numRef>
              <c:f>'Monthly Sales'!$B$4:$B$12</c:f>
              <c:numCache>
                <c:formatCode>General</c:formatCode>
                <c:ptCount val="8"/>
                <c:pt idx="0">
                  <c:v>506892.83</c:v>
                </c:pt>
                <c:pt idx="1">
                  <c:v>196958.84</c:v>
                </c:pt>
                <c:pt idx="2">
                  <c:v>761715.36</c:v>
                </c:pt>
                <c:pt idx="3">
                  <c:v>427930.39</c:v>
                </c:pt>
                <c:pt idx="4">
                  <c:v>811001.25</c:v>
                </c:pt>
                <c:pt idx="5">
                  <c:v>651452.1</c:v>
                </c:pt>
                <c:pt idx="6">
                  <c:v>665307.49</c:v>
                </c:pt>
                <c:pt idx="7">
                  <c:v>716812.83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A-4F5F-A1C6-D106AAA0F5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69384095"/>
        <c:axId val="1769379103"/>
      </c:lineChart>
      <c:catAx>
        <c:axId val="176938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79103"/>
        <c:crosses val="autoZero"/>
        <c:auto val="1"/>
        <c:lblAlgn val="ctr"/>
        <c:lblOffset val="100"/>
        <c:noMultiLvlLbl val="0"/>
      </c:catAx>
      <c:valAx>
        <c:axId val="176937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84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 analysis Dashboard.xlsx]Category!PivotTable3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Category!$A$4:$A$8</c:f>
              <c:strCache>
                <c:ptCount val="4"/>
                <c:pt idx="0">
                  <c:v>Electronics</c:v>
                </c:pt>
                <c:pt idx="1">
                  <c:v>Home</c:v>
                </c:pt>
                <c:pt idx="2">
                  <c:v>Accessories</c:v>
                </c:pt>
                <c:pt idx="3">
                  <c:v>Stationery</c:v>
                </c:pt>
              </c:strCache>
            </c:strRef>
          </c:cat>
          <c:val>
            <c:numRef>
              <c:f>Category!$B$4:$B$8</c:f>
              <c:numCache>
                <c:formatCode>General</c:formatCode>
                <c:ptCount val="4"/>
                <c:pt idx="0">
                  <c:v>11967114.640000001</c:v>
                </c:pt>
                <c:pt idx="1">
                  <c:v>3837723.47</c:v>
                </c:pt>
                <c:pt idx="2">
                  <c:v>1506274.0400000005</c:v>
                </c:pt>
                <c:pt idx="3">
                  <c:v>177222.59999999998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9-4434-8844-67DFD6A9B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8527855"/>
        <c:axId val="1098529519"/>
      </c:barChart>
      <c:catAx>
        <c:axId val="109852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29519"/>
        <c:crosses val="autoZero"/>
        <c:auto val="1"/>
        <c:lblAlgn val="ctr"/>
        <c:lblOffset val="100"/>
        <c:noMultiLvlLbl val="0"/>
      </c:catAx>
      <c:valAx>
        <c:axId val="109852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2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[ECommerce_Sales_Dataset analysis Dashboard.xlsx]Reagon!PivotTable5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Reagon!$B$3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Reagon!$A$4:$A$13</c:f>
              <c:strCache>
                <c:ptCount val="9"/>
                <c:pt idx="0">
                  <c:v>Central</c:v>
                </c:pt>
                <c:pt idx="1">
                  <c:v>Western</c:v>
                </c:pt>
                <c:pt idx="2">
                  <c:v>Northern</c:v>
                </c:pt>
                <c:pt idx="3">
                  <c:v>Sabaragamuwa</c:v>
                </c:pt>
                <c:pt idx="4">
                  <c:v>North Central</c:v>
                </c:pt>
                <c:pt idx="5">
                  <c:v>Uva</c:v>
                </c:pt>
                <c:pt idx="6">
                  <c:v>Eastern</c:v>
                </c:pt>
                <c:pt idx="7">
                  <c:v>Southern</c:v>
                </c:pt>
                <c:pt idx="8">
                  <c:v>North Western</c:v>
                </c:pt>
              </c:strCache>
            </c:strRef>
          </c:cat>
          <c:val>
            <c:numRef>
              <c:f>Reagon!$B$4:$B$13</c:f>
              <c:numCache>
                <c:formatCode>General</c:formatCode>
                <c:ptCount val="9"/>
                <c:pt idx="0">
                  <c:v>3120959.78</c:v>
                </c:pt>
                <c:pt idx="1">
                  <c:v>2747591.6100000003</c:v>
                </c:pt>
                <c:pt idx="2">
                  <c:v>2647136.2799999998</c:v>
                </c:pt>
                <c:pt idx="3">
                  <c:v>2572876.2999999998</c:v>
                </c:pt>
                <c:pt idx="4">
                  <c:v>1663481.2700000003</c:v>
                </c:pt>
                <c:pt idx="5">
                  <c:v>1492727.3499999999</c:v>
                </c:pt>
                <c:pt idx="6">
                  <c:v>1193245.43</c:v>
                </c:pt>
                <c:pt idx="7">
                  <c:v>1121452.74</c:v>
                </c:pt>
                <c:pt idx="8">
                  <c:v>928863.99000000011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78-4B4B-BEC2-895069D20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5509839"/>
        <c:axId val="1095520239"/>
      </c:barChart>
      <c:catAx>
        <c:axId val="109550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20239"/>
        <c:crosses val="autoZero"/>
        <c:auto val="1"/>
        <c:lblAlgn val="ctr"/>
        <c:lblOffset val="100"/>
        <c:noMultiLvlLbl val="0"/>
      </c:catAx>
      <c:valAx>
        <c:axId val="109552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0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[ECommerce_Sales_Dataset analysis Dashboard.xlsx]Sheet7!PivotTable6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4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Sheet7!$A$4:$A$8</c:f>
              <c:strCache>
                <c:ptCount val="4"/>
                <c:pt idx="0">
                  <c:v>Bank Transfer</c:v>
                </c:pt>
                <c:pt idx="1">
                  <c:v>Card</c:v>
                </c:pt>
                <c:pt idx="2">
                  <c:v>Cash</c:v>
                </c:pt>
                <c:pt idx="3">
                  <c:v>Online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5015659.6399999997</c:v>
                </c:pt>
                <c:pt idx="1">
                  <c:v>4995739.3</c:v>
                </c:pt>
                <c:pt idx="2">
                  <c:v>4720374.0199999986</c:v>
                </c:pt>
                <c:pt idx="3">
                  <c:v>2756561.7899999996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D-42A6-8974-C1B29DA6D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5510255"/>
        <c:axId val="1095518159"/>
      </c:barChart>
      <c:catAx>
        <c:axId val="109551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18159"/>
        <c:crosses val="autoZero"/>
        <c:auto val="1"/>
        <c:lblAlgn val="ctr"/>
        <c:lblOffset val="100"/>
        <c:noMultiLvlLbl val="0"/>
      </c:catAx>
      <c:valAx>
        <c:axId val="109551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1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[ECommerce_Sales_Dataset analysis Dashboard.xlsx]Top10Products!PivotTable2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product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4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Top10Products!$B$3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Top10Products!$A$4:$A$20</c:f>
              <c:strCache>
                <c:ptCount val="16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Office Chair</c:v>
                </c:pt>
                <c:pt idx="5">
                  <c:v>Webcam</c:v>
                </c:pt>
                <c:pt idx="6">
                  <c:v>Bookshelf</c:v>
                </c:pt>
                <c:pt idx="7">
                  <c:v>Keyboard</c:v>
                </c:pt>
                <c:pt idx="8">
                  <c:v>Headphones</c:v>
                </c:pt>
                <c:pt idx="9">
                  <c:v>Mouse</c:v>
                </c:pt>
                <c:pt idx="10">
                  <c:v>Table Lamp</c:v>
                </c:pt>
                <c:pt idx="11">
                  <c:v>Planner</c:v>
                </c:pt>
                <c:pt idx="12">
                  <c:v>Notebook</c:v>
                </c:pt>
                <c:pt idx="13">
                  <c:v>Pen Set</c:v>
                </c:pt>
                <c:pt idx="14">
                  <c:v>File Folder</c:v>
                </c:pt>
                <c:pt idx="15">
                  <c:v>USB Cable</c:v>
                </c:pt>
              </c:strCache>
            </c:strRef>
          </c:cat>
          <c:val>
            <c:numRef>
              <c:f>Top10Products!$B$4:$B$20</c:f>
              <c:numCache>
                <c:formatCode>General</c:formatCode>
                <c:ptCount val="16"/>
                <c:pt idx="0">
                  <c:v>6002971.2000000002</c:v>
                </c:pt>
                <c:pt idx="1">
                  <c:v>4117179.9699999997</c:v>
                </c:pt>
                <c:pt idx="2">
                  <c:v>1967290.3100000003</c:v>
                </c:pt>
                <c:pt idx="3">
                  <c:v>1603154.65</c:v>
                </c:pt>
                <c:pt idx="4">
                  <c:v>1262873.2999999998</c:v>
                </c:pt>
                <c:pt idx="5">
                  <c:v>862368.29</c:v>
                </c:pt>
                <c:pt idx="6">
                  <c:v>428643.77</c:v>
                </c:pt>
                <c:pt idx="7">
                  <c:v>416864.33</c:v>
                </c:pt>
                <c:pt idx="8">
                  <c:v>243808.82</c:v>
                </c:pt>
                <c:pt idx="9">
                  <c:v>210007.57</c:v>
                </c:pt>
                <c:pt idx="10">
                  <c:v>178916.08999999997</c:v>
                </c:pt>
                <c:pt idx="11">
                  <c:v>69151.38</c:v>
                </c:pt>
                <c:pt idx="12">
                  <c:v>46512.05</c:v>
                </c:pt>
                <c:pt idx="13">
                  <c:v>33950.080000000002</c:v>
                </c:pt>
                <c:pt idx="14">
                  <c:v>27609.090000000004</c:v>
                </c:pt>
                <c:pt idx="15">
                  <c:v>17033.849999999999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F-4CE2-8932-CFF6C8472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95514831"/>
        <c:axId val="1095515663"/>
      </c:barChart>
      <c:catAx>
        <c:axId val="109551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15663"/>
        <c:crosses val="autoZero"/>
        <c:auto val="1"/>
        <c:lblAlgn val="ctr"/>
        <c:lblOffset val="100"/>
        <c:noMultiLvlLbl val="0"/>
      </c:catAx>
      <c:valAx>
        <c:axId val="10955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1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 analysis Dashboard.xlsx]Sheet12!PivotTable11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Sheet12!$A$4:$A$156</c:f>
              <c:multiLvlStrCache>
                <c:ptCount val="116"/>
                <c:lvl>
                  <c:pt idx="0">
                    <c:v>January</c:v>
                  </c:pt>
                  <c:pt idx="1">
                    <c:v>January</c:v>
                  </c:pt>
                  <c:pt idx="2">
                    <c:v>January</c:v>
                  </c:pt>
                  <c:pt idx="3">
                    <c:v>January</c:v>
                  </c:pt>
                  <c:pt idx="4">
                    <c:v>January</c:v>
                  </c:pt>
                  <c:pt idx="5">
                    <c:v>January</c:v>
                  </c:pt>
                  <c:pt idx="6">
                    <c:v>January</c:v>
                  </c:pt>
                  <c:pt idx="7">
                    <c:v>January</c:v>
                  </c:pt>
                  <c:pt idx="8">
                    <c:v>January</c:v>
                  </c:pt>
                  <c:pt idx="9">
                    <c:v>January</c:v>
                  </c:pt>
                  <c:pt idx="10">
                    <c:v>January</c:v>
                  </c:pt>
                  <c:pt idx="11">
                    <c:v>February</c:v>
                  </c:pt>
                  <c:pt idx="12">
                    <c:v>February</c:v>
                  </c:pt>
                  <c:pt idx="13">
                    <c:v>February</c:v>
                  </c:pt>
                  <c:pt idx="14">
                    <c:v>February</c:v>
                  </c:pt>
                  <c:pt idx="15">
                    <c:v>February</c:v>
                  </c:pt>
                  <c:pt idx="16">
                    <c:v>February</c:v>
                  </c:pt>
                  <c:pt idx="17">
                    <c:v>February</c:v>
                  </c:pt>
                  <c:pt idx="18">
                    <c:v>February</c:v>
                  </c:pt>
                  <c:pt idx="19">
                    <c:v>February</c:v>
                  </c:pt>
                  <c:pt idx="20">
                    <c:v>February</c:v>
                  </c:pt>
                  <c:pt idx="21">
                    <c:v>February</c:v>
                  </c:pt>
                  <c:pt idx="22">
                    <c:v>February</c:v>
                  </c:pt>
                  <c:pt idx="23">
                    <c:v>February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March</c:v>
                  </c:pt>
                  <c:pt idx="27">
                    <c:v>March</c:v>
                  </c:pt>
                  <c:pt idx="28">
                    <c:v>March</c:v>
                  </c:pt>
                  <c:pt idx="29">
                    <c:v>March</c:v>
                  </c:pt>
                  <c:pt idx="30">
                    <c:v>March</c:v>
                  </c:pt>
                  <c:pt idx="31">
                    <c:v>March</c:v>
                  </c:pt>
                  <c:pt idx="32">
                    <c:v>March</c:v>
                  </c:pt>
                  <c:pt idx="33">
                    <c:v>March</c:v>
                  </c:pt>
                  <c:pt idx="34">
                    <c:v>March</c:v>
                  </c:pt>
                  <c:pt idx="35">
                    <c:v>March</c:v>
                  </c:pt>
                </c:lvl>
                <c:lvl>
                  <c:pt idx="0">
                    <c:v>2026-01-02 00:00:00</c:v>
                  </c:pt>
                  <c:pt idx="1">
                    <c:v>2026-01-06 00:00:00</c:v>
                  </c:pt>
                  <c:pt idx="2">
                    <c:v>2026-01-08 00:00:00</c:v>
                  </c:pt>
                  <c:pt idx="3">
                    <c:v>2026-01-09 00:00:00</c:v>
                  </c:pt>
                  <c:pt idx="4">
                    <c:v>2026-01-10 00:00:00</c:v>
                  </c:pt>
                  <c:pt idx="5">
                    <c:v>2026-01-14 00:00:00</c:v>
                  </c:pt>
                  <c:pt idx="6">
                    <c:v>2026-01-15 00:00:00</c:v>
                  </c:pt>
                  <c:pt idx="7">
                    <c:v>2026-01-22 00:00:00</c:v>
                  </c:pt>
                  <c:pt idx="8">
                    <c:v>2026-01-24 00:00:00</c:v>
                  </c:pt>
                  <c:pt idx="9">
                    <c:v>2026-01-25 00:00:00</c:v>
                  </c:pt>
                  <c:pt idx="10">
                    <c:v>2026-01-26 00:00:00</c:v>
                  </c:pt>
                  <c:pt idx="11">
                    <c:v>2026-02-01 00:00:00</c:v>
                  </c:pt>
                  <c:pt idx="12">
                    <c:v>2026-02-03 00:00:00</c:v>
                  </c:pt>
                  <c:pt idx="13">
                    <c:v>2026-02-05 00:00:00</c:v>
                  </c:pt>
                  <c:pt idx="14">
                    <c:v>2026-02-06 00:00:00</c:v>
                  </c:pt>
                  <c:pt idx="15">
                    <c:v>2026-02-08 00:00:00</c:v>
                  </c:pt>
                  <c:pt idx="16">
                    <c:v>2026-02-09 00:00:00</c:v>
                  </c:pt>
                  <c:pt idx="17">
                    <c:v>2026-02-11 00:00:00</c:v>
                  </c:pt>
                  <c:pt idx="18">
                    <c:v>2026-02-12 00:00:00</c:v>
                  </c:pt>
                  <c:pt idx="19">
                    <c:v>2026-02-14 00:00:00</c:v>
                  </c:pt>
                  <c:pt idx="20">
                    <c:v>2026-02-19 00:00:00</c:v>
                  </c:pt>
                  <c:pt idx="21">
                    <c:v>2026-02-20 00:00:00</c:v>
                  </c:pt>
                  <c:pt idx="22">
                    <c:v>2026-02-23 00:00:00</c:v>
                  </c:pt>
                  <c:pt idx="23">
                    <c:v>2026-02-24 00:00:00</c:v>
                  </c:pt>
                  <c:pt idx="24">
                    <c:v>2026-02-26 00:00:00</c:v>
                  </c:pt>
                  <c:pt idx="25">
                    <c:v>2026-03-04 00:00:00</c:v>
                  </c:pt>
                  <c:pt idx="26">
                    <c:v>2026-03-05 00:00:00</c:v>
                  </c:pt>
                  <c:pt idx="27">
                    <c:v>2026-03-06 00:00:00</c:v>
                  </c:pt>
                  <c:pt idx="28">
                    <c:v>2026-03-07 00:00:00</c:v>
                  </c:pt>
                  <c:pt idx="29">
                    <c:v>2026-03-08 00:00:00</c:v>
                  </c:pt>
                  <c:pt idx="30">
                    <c:v>2026-03-10 00:00:00</c:v>
                  </c:pt>
                  <c:pt idx="31">
                    <c:v>2026-03-12 00:00:00</c:v>
                  </c:pt>
                  <c:pt idx="32">
                    <c:v>2026-03-13 00:00:00</c:v>
                  </c:pt>
                  <c:pt idx="33">
                    <c:v>2026-03-18 00:00:00</c:v>
                  </c:pt>
                  <c:pt idx="34">
                    <c:v>2026-03-20 00:00:00</c:v>
                  </c:pt>
                  <c:pt idx="35">
                    <c:v>2026-03-22 00:00:00</c:v>
                  </c:pt>
                  <c:pt idx="36">
                    <c:v>2026-03-24 00:00:00</c:v>
                  </c:pt>
                  <c:pt idx="37">
                    <c:v>2026-03-25 00:00:00</c:v>
                  </c:pt>
                  <c:pt idx="38">
                    <c:v>2026-03-26 00:00:00</c:v>
                  </c:pt>
                  <c:pt idx="39">
                    <c:v>2026-03-27 00:00:00</c:v>
                  </c:pt>
                  <c:pt idx="40">
                    <c:v>2026-03-28 00:00:00</c:v>
                  </c:pt>
                  <c:pt idx="41">
                    <c:v>2026-03-29 00:00:00</c:v>
                  </c:pt>
                  <c:pt idx="42">
                    <c:v>2026-03-31 00:00:00</c:v>
                  </c:pt>
                  <c:pt idx="43">
                    <c:v>2026-04-01 00:00:00</c:v>
                  </c:pt>
                  <c:pt idx="44">
                    <c:v>2026-04-02 00:00:00</c:v>
                  </c:pt>
                  <c:pt idx="45">
                    <c:v>2026-04-04 00:00:00</c:v>
                  </c:pt>
                  <c:pt idx="46">
                    <c:v>2026-04-06 00:00:00</c:v>
                  </c:pt>
                  <c:pt idx="47">
                    <c:v>2026-04-07 00:00:00</c:v>
                  </c:pt>
                  <c:pt idx="48">
                    <c:v>2026-04-08 00:00:00</c:v>
                  </c:pt>
                  <c:pt idx="49">
                    <c:v>2026-04-10 00:00:00</c:v>
                  </c:pt>
                  <c:pt idx="50">
                    <c:v>2026-04-12 00:00:00</c:v>
                  </c:pt>
                  <c:pt idx="51">
                    <c:v>2026-04-13 00:00:00</c:v>
                  </c:pt>
                  <c:pt idx="52">
                    <c:v>2026-04-14 00:00:00</c:v>
                  </c:pt>
                  <c:pt idx="53">
                    <c:v>2026-04-15 00:00:00</c:v>
                  </c:pt>
                  <c:pt idx="54">
                    <c:v>2026-04-17 00:00:00</c:v>
                  </c:pt>
                  <c:pt idx="55">
                    <c:v>2026-04-18 00:00:00</c:v>
                  </c:pt>
                  <c:pt idx="56">
                    <c:v>2026-04-20 00:00:00</c:v>
                  </c:pt>
                  <c:pt idx="57">
                    <c:v>2026-04-21 00:00:00</c:v>
                  </c:pt>
                  <c:pt idx="58">
                    <c:v>2026-04-24 00:00:00</c:v>
                  </c:pt>
                  <c:pt idx="59">
                    <c:v>2026-04-27 00:00:00</c:v>
                  </c:pt>
                  <c:pt idx="60">
                    <c:v>2026-05-05 00:00:00</c:v>
                  </c:pt>
                  <c:pt idx="61">
                    <c:v>2026-05-07 00:00:00</c:v>
                  </c:pt>
                  <c:pt idx="62">
                    <c:v>2026-05-09 00:00:00</c:v>
                  </c:pt>
                  <c:pt idx="63">
                    <c:v>2026-05-10 00:00:00</c:v>
                  </c:pt>
                  <c:pt idx="64">
                    <c:v>2026-05-14 00:00:00</c:v>
                  </c:pt>
                  <c:pt idx="65">
                    <c:v>2026-05-15 00:00:00</c:v>
                  </c:pt>
                  <c:pt idx="66">
                    <c:v>2026-05-16 00:00:00</c:v>
                  </c:pt>
                  <c:pt idx="67">
                    <c:v>2026-05-17 00:00:00</c:v>
                  </c:pt>
                  <c:pt idx="68">
                    <c:v>2026-05-18 00:00:00</c:v>
                  </c:pt>
                  <c:pt idx="69">
                    <c:v>2026-05-21 00:00:00</c:v>
                  </c:pt>
                  <c:pt idx="70">
                    <c:v>2026-05-22 00:00:00</c:v>
                  </c:pt>
                  <c:pt idx="71">
                    <c:v>2026-05-23 00:00:00</c:v>
                  </c:pt>
                  <c:pt idx="72">
                    <c:v>2026-05-24 00:00:00</c:v>
                  </c:pt>
                  <c:pt idx="73">
                    <c:v>2026-05-25 00:00:00</c:v>
                  </c:pt>
                  <c:pt idx="74">
                    <c:v>2026-05-28 00:00:00</c:v>
                  </c:pt>
                  <c:pt idx="75">
                    <c:v>2026-06-02 00:00:00</c:v>
                  </c:pt>
                  <c:pt idx="76">
                    <c:v>2026-06-03 00:00:00</c:v>
                  </c:pt>
                  <c:pt idx="77">
                    <c:v>2026-06-04 00:00:00</c:v>
                  </c:pt>
                  <c:pt idx="78">
                    <c:v>2026-06-06 00:00:00</c:v>
                  </c:pt>
                  <c:pt idx="79">
                    <c:v>2026-06-09 00:00:00</c:v>
                  </c:pt>
                  <c:pt idx="80">
                    <c:v>2026-06-11 00:00:00</c:v>
                  </c:pt>
                  <c:pt idx="81">
                    <c:v>2026-06-12 00:00:00</c:v>
                  </c:pt>
                  <c:pt idx="82">
                    <c:v>2026-06-15 00:00:00</c:v>
                  </c:pt>
                  <c:pt idx="83">
                    <c:v>2026-06-16 00:00:00</c:v>
                  </c:pt>
                  <c:pt idx="84">
                    <c:v>2026-06-18 00:00:00</c:v>
                  </c:pt>
                  <c:pt idx="85">
                    <c:v>2026-06-19 00:00:00</c:v>
                  </c:pt>
                  <c:pt idx="86">
                    <c:v>2026-06-21 00:00:00</c:v>
                  </c:pt>
                  <c:pt idx="87">
                    <c:v>2026-06-22 00:00:00</c:v>
                  </c:pt>
                  <c:pt idx="88">
                    <c:v>2026-06-23 00:00:00</c:v>
                  </c:pt>
                  <c:pt idx="89">
                    <c:v>2026-06-25 00:00:00</c:v>
                  </c:pt>
                  <c:pt idx="90">
                    <c:v>2026-06-29 00:00:00</c:v>
                  </c:pt>
                  <c:pt idx="91">
                    <c:v>2026-06-30 00:00:00</c:v>
                  </c:pt>
                  <c:pt idx="92">
                    <c:v>2026-07-01 00:00:00</c:v>
                  </c:pt>
                  <c:pt idx="93">
                    <c:v>2026-07-04 00:00:00</c:v>
                  </c:pt>
                  <c:pt idx="94">
                    <c:v>2026-07-08 00:00:00</c:v>
                  </c:pt>
                  <c:pt idx="95">
                    <c:v>2026-07-11 00:00:00</c:v>
                  </c:pt>
                  <c:pt idx="96">
                    <c:v>2026-07-12 00:00:00</c:v>
                  </c:pt>
                  <c:pt idx="97">
                    <c:v>2026-07-14 00:00:00</c:v>
                  </c:pt>
                  <c:pt idx="98">
                    <c:v>2026-07-16 00:00:00</c:v>
                  </c:pt>
                  <c:pt idx="99">
                    <c:v>2026-07-17 00:00:00</c:v>
                  </c:pt>
                  <c:pt idx="100">
                    <c:v>2026-07-21 00:00:00</c:v>
                  </c:pt>
                  <c:pt idx="101">
                    <c:v>2026-07-22 00:00:00</c:v>
                  </c:pt>
                  <c:pt idx="102">
                    <c:v>2026-07-23 00:00:00</c:v>
                  </c:pt>
                  <c:pt idx="103">
                    <c:v>2026-07-25 00:00:00</c:v>
                  </c:pt>
                  <c:pt idx="104">
                    <c:v>2026-07-26 00:00:00</c:v>
                  </c:pt>
                  <c:pt idx="105">
                    <c:v>2026-07-27 00:00:00</c:v>
                  </c:pt>
                  <c:pt idx="106">
                    <c:v>2026-07-30 00:00:00</c:v>
                  </c:pt>
                  <c:pt idx="107">
                    <c:v>2026-08-01 00:00:00</c:v>
                  </c:pt>
                  <c:pt idx="108">
                    <c:v>2026-08-06 00:00:00</c:v>
                  </c:pt>
                  <c:pt idx="109">
                    <c:v>2026-08-08 00:00:00</c:v>
                  </c:pt>
                  <c:pt idx="110">
                    <c:v>2026-08-10 00:00:00</c:v>
                  </c:pt>
                  <c:pt idx="111">
                    <c:v>2026-08-11 00:00:00</c:v>
                  </c:pt>
                  <c:pt idx="112">
                    <c:v>2026-08-13 00:00:00</c:v>
                  </c:pt>
                  <c:pt idx="113">
                    <c:v>2026-08-14 00:00:00</c:v>
                  </c:pt>
                  <c:pt idx="114">
                    <c:v>2026-08-17 00:00:00</c:v>
                  </c:pt>
                  <c:pt idx="115">
                    <c:v>2026-08-19 00:00:00</c:v>
                  </c:pt>
                </c:lvl>
              </c:multiLvlStrCache>
            </c:multiLvlStrRef>
          </c:cat>
          <c:val>
            <c:numRef>
              <c:f>Sheet12!$B$4:$B$156</c:f>
              <c:numCache>
                <c:formatCode>General</c:formatCode>
                <c:ptCount val="116"/>
                <c:pt idx="0">
                  <c:v>27161.539999999997</c:v>
                </c:pt>
                <c:pt idx="1">
                  <c:v>608299.26</c:v>
                </c:pt>
                <c:pt idx="2">
                  <c:v>119934.57</c:v>
                </c:pt>
                <c:pt idx="3">
                  <c:v>228332.32</c:v>
                </c:pt>
                <c:pt idx="4">
                  <c:v>10601.94</c:v>
                </c:pt>
                <c:pt idx="5">
                  <c:v>258382.15</c:v>
                </c:pt>
                <c:pt idx="6">
                  <c:v>37629.42</c:v>
                </c:pt>
                <c:pt idx="7">
                  <c:v>171087.6</c:v>
                </c:pt>
                <c:pt idx="8">
                  <c:v>225394.30000000002</c:v>
                </c:pt>
                <c:pt idx="9">
                  <c:v>3821.4</c:v>
                </c:pt>
                <c:pt idx="10">
                  <c:v>17839</c:v>
                </c:pt>
                <c:pt idx="11">
                  <c:v>30344.43</c:v>
                </c:pt>
                <c:pt idx="12">
                  <c:v>165628.59</c:v>
                </c:pt>
                <c:pt idx="13">
                  <c:v>22519.64</c:v>
                </c:pt>
                <c:pt idx="14">
                  <c:v>529984.80000000005</c:v>
                </c:pt>
                <c:pt idx="15">
                  <c:v>1098.06</c:v>
                </c:pt>
                <c:pt idx="16">
                  <c:v>338353.96</c:v>
                </c:pt>
                <c:pt idx="17">
                  <c:v>203959.41</c:v>
                </c:pt>
                <c:pt idx="18">
                  <c:v>395159.32</c:v>
                </c:pt>
                <c:pt idx="19">
                  <c:v>356710.70999999996</c:v>
                </c:pt>
                <c:pt idx="20">
                  <c:v>7484</c:v>
                </c:pt>
                <c:pt idx="21">
                  <c:v>24829.42</c:v>
                </c:pt>
                <c:pt idx="22">
                  <c:v>74672.149999999994</c:v>
                </c:pt>
                <c:pt idx="23">
                  <c:v>129673.86</c:v>
                </c:pt>
                <c:pt idx="24">
                  <c:v>180504.8</c:v>
                </c:pt>
                <c:pt idx="25">
                  <c:v>62770.37</c:v>
                </c:pt>
                <c:pt idx="26">
                  <c:v>7775.44</c:v>
                </c:pt>
                <c:pt idx="27">
                  <c:v>63513.75</c:v>
                </c:pt>
                <c:pt idx="28">
                  <c:v>1786.02</c:v>
                </c:pt>
                <c:pt idx="29">
                  <c:v>339113.44</c:v>
                </c:pt>
                <c:pt idx="30">
                  <c:v>55278.44</c:v>
                </c:pt>
                <c:pt idx="31">
                  <c:v>553901.88</c:v>
                </c:pt>
                <c:pt idx="32">
                  <c:v>4911.04</c:v>
                </c:pt>
                <c:pt idx="33">
                  <c:v>182959.92</c:v>
                </c:pt>
                <c:pt idx="34">
                  <c:v>2251.2600000000002</c:v>
                </c:pt>
                <c:pt idx="35">
                  <c:v>28961.46</c:v>
                </c:pt>
                <c:pt idx="36">
                  <c:v>5447.85</c:v>
                </c:pt>
                <c:pt idx="37">
                  <c:v>122953.41</c:v>
                </c:pt>
                <c:pt idx="38">
                  <c:v>11761.52</c:v>
                </c:pt>
                <c:pt idx="39">
                  <c:v>249886.81</c:v>
                </c:pt>
                <c:pt idx="40">
                  <c:v>26471.56</c:v>
                </c:pt>
                <c:pt idx="41">
                  <c:v>81825.600000000006</c:v>
                </c:pt>
                <c:pt idx="42">
                  <c:v>848367.8</c:v>
                </c:pt>
                <c:pt idx="43">
                  <c:v>4552.8500000000004</c:v>
                </c:pt>
                <c:pt idx="44">
                  <c:v>11578.5</c:v>
                </c:pt>
                <c:pt idx="45">
                  <c:v>137449.34</c:v>
                </c:pt>
                <c:pt idx="46">
                  <c:v>108165.54</c:v>
                </c:pt>
                <c:pt idx="47">
                  <c:v>2614.87</c:v>
                </c:pt>
                <c:pt idx="48">
                  <c:v>411765.83999999997</c:v>
                </c:pt>
                <c:pt idx="49">
                  <c:v>51097.36</c:v>
                </c:pt>
                <c:pt idx="50">
                  <c:v>203685.34</c:v>
                </c:pt>
                <c:pt idx="51">
                  <c:v>1375.86</c:v>
                </c:pt>
                <c:pt idx="52">
                  <c:v>191854.35</c:v>
                </c:pt>
                <c:pt idx="53">
                  <c:v>133058.94</c:v>
                </c:pt>
                <c:pt idx="54">
                  <c:v>160492.15</c:v>
                </c:pt>
                <c:pt idx="55">
                  <c:v>22873.759999999998</c:v>
                </c:pt>
                <c:pt idx="56">
                  <c:v>75729.760000000009</c:v>
                </c:pt>
                <c:pt idx="57">
                  <c:v>3783.56</c:v>
                </c:pt>
                <c:pt idx="58">
                  <c:v>295734.55</c:v>
                </c:pt>
                <c:pt idx="59">
                  <c:v>89421.14</c:v>
                </c:pt>
                <c:pt idx="60">
                  <c:v>61116.08</c:v>
                </c:pt>
                <c:pt idx="61">
                  <c:v>3958.08</c:v>
                </c:pt>
                <c:pt idx="62">
                  <c:v>2105.5500000000002</c:v>
                </c:pt>
                <c:pt idx="63">
                  <c:v>17637.5</c:v>
                </c:pt>
                <c:pt idx="64">
                  <c:v>2453.9699999999998</c:v>
                </c:pt>
                <c:pt idx="65">
                  <c:v>9136.1200000000008</c:v>
                </c:pt>
                <c:pt idx="66">
                  <c:v>895821.95</c:v>
                </c:pt>
                <c:pt idx="67">
                  <c:v>18249.810000000001</c:v>
                </c:pt>
                <c:pt idx="68">
                  <c:v>236506.26</c:v>
                </c:pt>
                <c:pt idx="69">
                  <c:v>889.76</c:v>
                </c:pt>
                <c:pt idx="70">
                  <c:v>266707.18</c:v>
                </c:pt>
                <c:pt idx="71">
                  <c:v>90085.759999999995</c:v>
                </c:pt>
                <c:pt idx="72">
                  <c:v>345236.04</c:v>
                </c:pt>
                <c:pt idx="73">
                  <c:v>512305.44</c:v>
                </c:pt>
                <c:pt idx="74">
                  <c:v>5204.32</c:v>
                </c:pt>
                <c:pt idx="75">
                  <c:v>312797.26</c:v>
                </c:pt>
                <c:pt idx="76">
                  <c:v>3636.92</c:v>
                </c:pt>
                <c:pt idx="77">
                  <c:v>1102.49</c:v>
                </c:pt>
                <c:pt idx="78">
                  <c:v>27735.48</c:v>
                </c:pt>
                <c:pt idx="79">
                  <c:v>200384.96</c:v>
                </c:pt>
                <c:pt idx="80">
                  <c:v>448420.65</c:v>
                </c:pt>
                <c:pt idx="81">
                  <c:v>1966.23</c:v>
                </c:pt>
                <c:pt idx="82">
                  <c:v>3825.48</c:v>
                </c:pt>
                <c:pt idx="83">
                  <c:v>3073.52</c:v>
                </c:pt>
                <c:pt idx="84">
                  <c:v>2538.96</c:v>
                </c:pt>
                <c:pt idx="85">
                  <c:v>7805.94</c:v>
                </c:pt>
                <c:pt idx="86">
                  <c:v>469790.75999999995</c:v>
                </c:pt>
                <c:pt idx="87">
                  <c:v>3626.34</c:v>
                </c:pt>
                <c:pt idx="88">
                  <c:v>71772.649999999994</c:v>
                </c:pt>
                <c:pt idx="89">
                  <c:v>110516.75</c:v>
                </c:pt>
                <c:pt idx="90">
                  <c:v>9248.7199999999993</c:v>
                </c:pt>
                <c:pt idx="91">
                  <c:v>412881.64</c:v>
                </c:pt>
                <c:pt idx="92">
                  <c:v>169474.32</c:v>
                </c:pt>
                <c:pt idx="93">
                  <c:v>5953.24</c:v>
                </c:pt>
                <c:pt idx="94">
                  <c:v>1215396.69</c:v>
                </c:pt>
                <c:pt idx="95">
                  <c:v>24623.43</c:v>
                </c:pt>
                <c:pt idx="96">
                  <c:v>164186.88</c:v>
                </c:pt>
                <c:pt idx="97">
                  <c:v>43948.02</c:v>
                </c:pt>
                <c:pt idx="98">
                  <c:v>1163114.28</c:v>
                </c:pt>
                <c:pt idx="99">
                  <c:v>35642.519999999997</c:v>
                </c:pt>
                <c:pt idx="100">
                  <c:v>12231.77</c:v>
                </c:pt>
                <c:pt idx="101">
                  <c:v>6816.12</c:v>
                </c:pt>
                <c:pt idx="102">
                  <c:v>61709.94</c:v>
                </c:pt>
                <c:pt idx="103">
                  <c:v>43400.24</c:v>
                </c:pt>
                <c:pt idx="104">
                  <c:v>2631.3</c:v>
                </c:pt>
                <c:pt idx="105">
                  <c:v>661905.28</c:v>
                </c:pt>
                <c:pt idx="106">
                  <c:v>45647.7</c:v>
                </c:pt>
                <c:pt idx="107">
                  <c:v>12913.23</c:v>
                </c:pt>
                <c:pt idx="108">
                  <c:v>154763.67000000001</c:v>
                </c:pt>
                <c:pt idx="109">
                  <c:v>36962.699999999997</c:v>
                </c:pt>
                <c:pt idx="110">
                  <c:v>256943.32</c:v>
                </c:pt>
                <c:pt idx="111">
                  <c:v>37178.199999999997</c:v>
                </c:pt>
                <c:pt idx="112">
                  <c:v>1695.95</c:v>
                </c:pt>
                <c:pt idx="113">
                  <c:v>39363.599999999999</c:v>
                </c:pt>
                <c:pt idx="114">
                  <c:v>4756.33</c:v>
                </c:pt>
                <c:pt idx="115">
                  <c:v>3959.52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7-45E3-A859-1F0B0693F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748671"/>
        <c:axId val="1249732447"/>
      </c:barChart>
      <c:catAx>
        <c:axId val="124974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32447"/>
        <c:crosses val="autoZero"/>
        <c:auto val="1"/>
        <c:lblAlgn val="ctr"/>
        <c:lblOffset val="100"/>
        <c:noMultiLvlLbl val="0"/>
      </c:catAx>
      <c:valAx>
        <c:axId val="124973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74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4</xdr:row>
      <xdr:rowOff>123825</xdr:rowOff>
    </xdr:from>
    <xdr:to>
      <xdr:col>14</xdr:col>
      <xdr:colOff>152400</xdr:colOff>
      <xdr:row>19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4</xdr:row>
      <xdr:rowOff>114300</xdr:rowOff>
    </xdr:from>
    <xdr:to>
      <xdr:col>9</xdr:col>
      <xdr:colOff>504825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4</xdr:row>
      <xdr:rowOff>114300</xdr:rowOff>
    </xdr:from>
    <xdr:to>
      <xdr:col>9</xdr:col>
      <xdr:colOff>504825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4</xdr:row>
      <xdr:rowOff>114300</xdr:rowOff>
    </xdr:from>
    <xdr:to>
      <xdr:col>9</xdr:col>
      <xdr:colOff>504825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333380</xdr:colOff>
      <xdr:row>1</xdr:row>
      <xdr:rowOff>161925</xdr:rowOff>
    </xdr:from>
    <xdr:to>
      <xdr:col>13</xdr:col>
      <xdr:colOff>247649</xdr:colOff>
      <xdr:row>18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5</xdr:row>
      <xdr:rowOff>57150</xdr:rowOff>
    </xdr:from>
    <xdr:to>
      <xdr:col>5</xdr:col>
      <xdr:colOff>552450</xdr:colOff>
      <xdr:row>23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24</xdr:row>
      <xdr:rowOff>171450</xdr:rowOff>
    </xdr:from>
    <xdr:to>
      <xdr:col>5</xdr:col>
      <xdr:colOff>581025</xdr:colOff>
      <xdr:row>39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5</xdr:row>
      <xdr:rowOff>57150</xdr:rowOff>
    </xdr:from>
    <xdr:to>
      <xdr:col>15</xdr:col>
      <xdr:colOff>161925</xdr:colOff>
      <xdr:row>23</xdr:row>
      <xdr:rowOff>28575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28575</xdr:colOff>
      <xdr:row>25</xdr:row>
      <xdr:rowOff>9525</xdr:rowOff>
    </xdr:from>
    <xdr:to>
      <xdr:col>15</xdr:col>
      <xdr:colOff>219075</xdr:colOff>
      <xdr:row>39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4</xdr:row>
      <xdr:rowOff>114300</xdr:rowOff>
    </xdr:from>
    <xdr:to>
      <xdr:col>9</xdr:col>
      <xdr:colOff>504825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HP" refreshedDate="46279.882313194445" backgroundQuery="1" createdVersion="6" refreshedVersion="6" minRefreshableVersion="3" recordCount="0" supportSubquery="1" supportAdvancedDrill="1">
  <cacheSource type="external" connectionId="1"/>
  <cacheFields count="2">
    <cacheField name="[Measures].[Sum of Unit Price]" caption="Sum of Unit Price" numFmtId="0" hierarchy="15" level="32767"/>
    <cacheField name="[Table1].[Months].[Months]" caption="Months" numFmtId="0" hierarchy="2" level="1">
      <sharedItems count="8">
        <s v="April"/>
        <s v="August"/>
        <s v="February"/>
        <s v="January"/>
        <s v="July"/>
        <s v="June"/>
        <s v="March"/>
        <s v="May"/>
      </sharedItems>
    </cacheField>
  </cacheFields>
  <cacheHierarchies count="16"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Months]" caption="Months" attribute="1" defaultMemberUniqueName="[Table1].[Months].[All]" allUniqueName="[Table1].[Month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Quantity]" caption="Quantity" attribute="1" defaultMemberUniqueName="[Table1].[Quantity].[All]" allUniqueName="[Table1].[Quantity].[All]" dimensionUniqueName="[Table1]" displayFolder="" count="0" memberValueDatatype="20" unbalanced="0"/>
    <cacheHierarchy uniqueName="[Table1].[Unit Price]" caption="Unit Price" attribute="1" defaultMemberUniqueName="[Table1].[Unit Price].[All]" allUniqueName="[Table1].[Unit Price].[All]" dimensionUniqueName="[Table1]" displayFolder="" count="0" memberValueDatatype="5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Sales Check]" caption="Sales Check" attribute="1" defaultMemberUniqueName="[Table1].[Sales Check].[All]" allUniqueName="[Table1].[Sales Check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Table1].[Payment Method]" caption="Payment Method" attribute="1" defaultMemberUniqueName="[Table1].[Payment Method].[All]" allUniqueName="[Table1].[Payment Method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 Price]" caption="Sum of Unit Pric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79.88510266204" createdVersion="6" refreshedVersion="6" minRefreshableVersion="3" recordCount="150">
  <cacheSource type="worksheet">
    <worksheetSource name="Table1"/>
  </cacheSource>
  <cacheFields count="13">
    <cacheField name="Order ID" numFmtId="0">
      <sharedItems count="15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</sharedItems>
    </cacheField>
    <cacheField name="Order Date" numFmtId="165">
      <sharedItems containsSemiMixedTypes="0" containsNonDate="0" containsDate="1" containsString="0" minDate="2026-01-02T00:00:00" maxDate="2026-08-20T00:00:00" count="116">
        <d v="2026-07-08T00:00:00"/>
        <d v="2026-06-04T00:00:00"/>
        <d v="2026-01-02T00:00:00"/>
        <d v="2026-01-24T00:00:00"/>
        <d v="2026-04-07T00:00:00"/>
        <d v="2026-07-17T00:00:00"/>
        <d v="2026-02-11T00:00:00"/>
        <d v="2026-03-04T00:00:00"/>
        <d v="2026-01-15T00:00:00"/>
        <d v="2026-08-13T00:00:00"/>
        <d v="2026-05-24T00:00:00"/>
        <d v="2026-05-07T00:00:00"/>
        <d v="2026-04-08T00:00:00"/>
        <d v="2026-07-16T00:00:00"/>
        <d v="2026-07-04T00:00:00"/>
        <d v="2026-04-06T00:00:00"/>
        <d v="2026-08-01T00:00:00"/>
        <d v="2026-07-14T00:00:00"/>
        <d v="2026-02-24T00:00:00"/>
        <d v="2026-03-05T00:00:00"/>
        <d v="2026-06-11T00:00:00"/>
        <d v="2026-05-05T00:00:00"/>
        <d v="2026-01-25T00:00:00"/>
        <d v="2026-06-15T00:00:00"/>
        <d v="2026-02-05T00:00:00"/>
        <d v="2026-05-21T00:00:00"/>
        <d v="2026-08-10T00:00:00"/>
        <d v="2026-04-27T00:00:00"/>
        <d v="2026-05-16T00:00:00"/>
        <d v="2026-04-14T00:00:00"/>
        <d v="2026-03-08T00:00:00"/>
        <d v="2026-03-22T00:00:00"/>
        <d v="2026-03-31T00:00:00"/>
        <d v="2026-06-06T00:00:00"/>
        <d v="2026-05-22T00:00:00"/>
        <d v="2026-05-10T00:00:00"/>
        <d v="2026-02-03T00:00:00"/>
        <d v="2026-02-08T00:00:00"/>
        <d v="2026-07-23T00:00:00"/>
        <d v="2026-04-15T00:00:00"/>
        <d v="2026-03-27T00:00:00"/>
        <d v="2026-02-26T00:00:00"/>
        <d v="2026-03-26T00:00:00"/>
        <d v="2026-01-08T00:00:00"/>
        <d v="2026-07-21T00:00:00"/>
        <d v="2026-05-14T00:00:00"/>
        <d v="2026-06-19T00:00:00"/>
        <d v="2026-02-19T00:00:00"/>
        <d v="2026-02-23T00:00:00"/>
        <d v="2026-08-19T00:00:00"/>
        <d v="2026-02-20T00:00:00"/>
        <d v="2026-04-17T00:00:00"/>
        <d v="2026-08-17T00:00:00"/>
        <d v="2026-02-01T00:00:00"/>
        <d v="2026-04-20T00:00:00"/>
        <d v="2026-03-12T00:00:00"/>
        <d v="2026-04-10T00:00:00"/>
        <d v="2026-03-28T00:00:00"/>
        <d v="2026-01-22T00:00:00"/>
        <d v="2026-03-25T00:00:00"/>
        <d v="2026-01-14T00:00:00"/>
        <d v="2026-02-09T00:00:00"/>
        <d v="2026-02-12T00:00:00"/>
        <d v="2026-06-23T00:00:00"/>
        <d v="2026-06-25T00:00:00"/>
        <d v="2026-03-29T00:00:00"/>
        <d v="2026-07-01T00:00:00"/>
        <d v="2026-03-10T00:00:00"/>
        <d v="2026-06-21T00:00:00"/>
        <d v="2026-05-23T00:00:00"/>
        <d v="2026-05-18T00:00:00"/>
        <d v="2026-06-02T00:00:00"/>
        <d v="2026-05-17T00:00:00"/>
        <d v="2026-07-12T00:00:00"/>
        <d v="2026-03-20T00:00:00"/>
        <d v="2026-02-14T00:00:00"/>
        <d v="2026-01-09T00:00:00"/>
        <d v="2026-07-22T00:00:00"/>
        <d v="2026-02-06T00:00:00"/>
        <d v="2026-06-29T00:00:00"/>
        <d v="2026-03-24T00:00:00"/>
        <d v="2026-01-06T00:00:00"/>
        <d v="2026-06-12T00:00:00"/>
        <d v="2026-03-06T00:00:00"/>
        <d v="2026-06-09T00:00:00"/>
        <d v="2026-08-14T00:00:00"/>
        <d v="2026-06-30T00:00:00"/>
        <d v="2026-06-03T00:00:00"/>
        <d v="2026-07-30T00:00:00"/>
        <d v="2026-08-08T00:00:00"/>
        <d v="2026-06-16T00:00:00"/>
        <d v="2026-05-15T00:00:00"/>
        <d v="2026-01-26T00:00:00"/>
        <d v="2026-04-02T00:00:00"/>
        <d v="2026-03-07T00:00:00"/>
        <d v="2026-03-18T00:00:00"/>
        <d v="2026-04-04T00:00:00"/>
        <d v="2026-08-11T00:00:00"/>
        <d v="2026-04-12T00:00:00"/>
        <d v="2026-06-22T00:00:00"/>
        <d v="2026-01-10T00:00:00"/>
        <d v="2026-03-13T00:00:00"/>
        <d v="2026-08-06T00:00:00"/>
        <d v="2026-05-25T00:00:00"/>
        <d v="2026-04-18T00:00:00"/>
        <d v="2026-05-09T00:00:00"/>
        <d v="2026-04-13T00:00:00"/>
        <d v="2026-07-27T00:00:00"/>
        <d v="2026-06-18T00:00:00"/>
        <d v="2026-07-26T00:00:00"/>
        <d v="2026-04-24T00:00:00"/>
        <d v="2026-04-21T00:00:00"/>
        <d v="2026-07-11T00:00:00"/>
        <d v="2026-04-01T00:00:00"/>
        <d v="2026-05-28T00:00:00"/>
        <d v="2026-07-25T00:00:00"/>
      </sharedItems>
    </cacheField>
    <cacheField name="Months" numFmtId="0">
      <sharedItems count="9">
        <s v="July"/>
        <s v="June"/>
        <s v="January"/>
        <s v="April"/>
        <s v="February"/>
        <s v="March"/>
        <s v="August"/>
        <s v="May"/>
        <s v="Formula1" f="1"/>
      </sharedItems>
    </cacheField>
    <cacheField name="Customer Name" numFmtId="0">
      <sharedItems/>
    </cacheField>
    <cacheField name="Region" numFmtId="0">
      <sharedItems count="43">
        <s v="Sabaragamuwa"/>
        <s v="North Central"/>
        <s v="Central"/>
        <s v="North Western"/>
        <s v="Uva"/>
        <s v="Western"/>
        <s v="Northern"/>
        <s v="Eastern"/>
        <s v="Southern"/>
        <s v="Formula25" f="1"/>
        <s v="Formula4" f="1"/>
        <s v="Formula9" f="1"/>
        <s v="Formula31" f="1"/>
        <s v="Formula28" f="1"/>
        <s v="Formula34" f="1"/>
        <s v="Formula12" f="1"/>
        <s v="Formula15" f="1"/>
        <s v="Formula3" f="1"/>
        <s v="Formula8" f="1"/>
        <s v="Formula21" f="1"/>
        <s v="Formula18" f="1"/>
        <s v="Formula24" f="1"/>
        <s v="Formula30" f="1"/>
        <s v="Formula27" f="1"/>
        <s v="Formula2" f="1"/>
        <s v="Formula7" f="1"/>
        <s v="Formula33" f="1"/>
        <s v="Formula11" f="1"/>
        <s v="Formula14" f="1"/>
        <s v="Formula20" f="1"/>
        <s v="Formula17" f="1"/>
        <s v="Formula1" f="1"/>
        <s v="Formula6" f="1"/>
        <s v="Formula23" f="1"/>
        <s v="Formula26" f="1"/>
        <s v="Formula32" f="1"/>
        <s v="Formula10" f="1"/>
        <s v="Formula29" f="1"/>
        <s v="Formula5" f="1"/>
        <s v="Formula13" f="1"/>
        <s v="Formula16" f="1"/>
        <s v="Formula22" f="1"/>
        <s v="Formula19" f="1"/>
      </sharedItems>
    </cacheField>
    <cacheField name="Category" numFmtId="0">
      <sharedItems count="4">
        <s v="Electronics"/>
        <s v="Stationery"/>
        <s v="Accessories"/>
        <s v="Home"/>
      </sharedItems>
    </cacheField>
    <cacheField name="Product" numFmtId="0">
      <sharedItems count="16">
        <s v="Laptop"/>
        <s v="Notebook"/>
        <s v="Pen Set"/>
        <s v="Mouse"/>
        <s v="USB Cable"/>
        <s v="Monitor"/>
        <s v="Keyboard"/>
        <s v="Planner"/>
        <s v="File Folder"/>
        <s v="Desk"/>
        <s v="Headphones"/>
        <s v="Webcam"/>
        <s v="Office Chair"/>
        <s v="Smartphone"/>
        <s v="Table Lamp"/>
        <s v="Bookshelf"/>
      </sharedItems>
    </cacheField>
    <cacheField name="Quantity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minValue="637.58000000000004" maxValue="193852.38"/>
    </cacheField>
    <cacheField name="Sales" numFmtId="0">
      <sharedItems containsSemiMixedTypes="0" containsString="0" containsNumber="1" minValue="889.76" maxValue="1163114.28"/>
    </cacheField>
    <cacheField name="Sales Check" numFmtId="0">
      <sharedItems containsSemiMixedTypes="0" containsString="0" containsNumber="1" minValue="889.76" maxValue="1163114.28"/>
    </cacheField>
    <cacheField name="Profit" numFmtId="0">
      <sharedItems containsSemiMixedTypes="0" containsString="0" containsNumber="1" minValue="139.5" maxValue="267720.48"/>
    </cacheField>
    <cacheField name="Payment Method" numFmtId="0">
      <sharedItems count="4">
        <s v="Cash"/>
        <s v="Card"/>
        <s v="Bank Transfer"/>
        <s v="Online"/>
      </sharedItems>
    </cacheField>
  </cacheFields>
  <calculatedItems count="37">
    <calculatedItem>
      <pivotArea cacheIndex="1" outline="0" fieldPosition="0">
        <references count="1">
          <reference field="4" count="1">
            <x v="9"/>
          </reference>
        </references>
      </pivotArea>
    </calculatedItem>
    <calculatedItem>
      <pivotArea cacheIndex="1" outline="0" fieldPosition="0">
        <references count="1">
          <reference field="4" count="1">
            <x v="10"/>
          </reference>
        </references>
      </pivotArea>
    </calculatedItem>
    <calculatedItem>
      <pivotArea cacheIndex="1" outline="0" fieldPosition="0">
        <references count="1">
          <reference field="4" count="1">
            <x v="11"/>
          </reference>
        </references>
      </pivotArea>
    </calculatedItem>
    <calculatedItem>
      <pivotArea cacheIndex="1" outline="0" fieldPosition="0">
        <references count="1">
          <reference field="4" count="1">
            <x v="12"/>
          </reference>
        </references>
      </pivotArea>
    </calculatedItem>
    <calculatedItem>
      <pivotArea cacheIndex="1" outline="0" fieldPosition="0">
        <references count="1">
          <reference field="4" count="1">
            <x v="13"/>
          </reference>
        </references>
      </pivotArea>
    </calculatedItem>
    <calculatedItem>
      <pivotArea cacheIndex="1" outline="0" fieldPosition="0">
        <references count="1">
          <reference field="4" count="1">
            <x v="14"/>
          </reference>
        </references>
      </pivotArea>
    </calculatedItem>
    <calculatedItem>
      <pivotArea cacheIndex="1" outline="0" fieldPosition="0">
        <references count="1">
          <reference field="4" count="1">
            <x v="15"/>
          </reference>
        </references>
      </pivotArea>
    </calculatedItem>
    <calculatedItem>
      <pivotArea cacheIndex="1" outline="0" fieldPosition="0">
        <references count="1">
          <reference field="4" count="1">
            <x v="16"/>
          </reference>
        </references>
      </pivotArea>
    </calculatedItem>
    <calculatedItem>
      <pivotArea cacheIndex="1" outline="0" fieldPosition="0">
        <references count="1">
          <reference field="4" count="1">
            <x v="17"/>
          </reference>
        </references>
      </pivotArea>
    </calculatedItem>
    <calculatedItem>
      <pivotArea cacheIndex="1" outline="0" fieldPosition="0">
        <references count="1">
          <reference field="4" count="1">
            <x v="18"/>
          </reference>
        </references>
      </pivotArea>
    </calculatedItem>
    <calculatedItem>
      <pivotArea cacheIndex="1" outline="0" fieldPosition="0">
        <references count="1">
          <reference field="4" count="1">
            <x v="19"/>
          </reference>
        </references>
      </pivotArea>
    </calculatedItem>
    <calculatedItem>
      <pivotArea cacheIndex="1" outline="0" fieldPosition="0">
        <references count="1">
          <reference field="4" count="1">
            <x v="20"/>
          </reference>
        </references>
      </pivotArea>
    </calculatedItem>
    <calculatedItem>
      <pivotArea cacheIndex="1" outline="0" fieldPosition="0">
        <references count="1">
          <reference field="4" count="1">
            <x v="21"/>
          </reference>
        </references>
      </pivotArea>
    </calculatedItem>
    <calculatedItem>
      <pivotArea cacheIndex="1" outline="0" fieldPosition="0">
        <references count="1">
          <reference field="4" count="1">
            <x v="22"/>
          </reference>
        </references>
      </pivotArea>
    </calculatedItem>
    <calculatedItem>
      <pivotArea cacheIndex="1" outline="0" fieldPosition="0">
        <references count="1">
          <reference field="4" count="1">
            <x v="23"/>
          </reference>
        </references>
      </pivotArea>
    </calculatedItem>
    <calculatedItem>
      <pivotArea cacheIndex="1" outline="0" fieldPosition="0">
        <references count="1">
          <reference field="4" count="1">
            <x v="24"/>
          </reference>
        </references>
      </pivotArea>
    </calculatedItem>
    <calculatedItem>
      <pivotArea cacheIndex="1" outline="0" fieldPosition="0">
        <references count="1">
          <reference field="4" count="1">
            <x v="25"/>
          </reference>
        </references>
      </pivotArea>
    </calculatedItem>
    <calculatedItem>
      <pivotArea cacheIndex="1" outline="0" fieldPosition="0">
        <references count="1">
          <reference field="4" count="1">
            <x v="26"/>
          </reference>
        </references>
      </pivotArea>
    </calculatedItem>
    <calculatedItem>
      <pivotArea cacheIndex="1" outline="0" fieldPosition="0">
        <references count="1">
          <reference field="4" count="1">
            <x v="27"/>
          </reference>
        </references>
      </pivotArea>
    </calculatedItem>
    <calculatedItem>
      <pivotArea cacheIndex="1" outline="0" fieldPosition="0">
        <references count="1">
          <reference field="4" count="1">
            <x v="28"/>
          </reference>
        </references>
      </pivotArea>
    </calculatedItem>
    <calculatedItem>
      <pivotArea cacheIndex="1" outline="0" fieldPosition="0">
        <references count="1">
          <reference field="4" count="1">
            <x v="29"/>
          </reference>
        </references>
      </pivotArea>
    </calculatedItem>
    <calculatedItem>
      <pivotArea cacheIndex="1" outline="0" fieldPosition="0">
        <references count="1">
          <reference field="4" count="1">
            <x v="30"/>
          </reference>
        </references>
      </pivotArea>
    </calculatedItem>
    <calculatedItem>
      <pivotArea cacheIndex="1" outline="0" fieldPosition="0">
        <references count="1">
          <reference field="4" count="1">
            <x v="31"/>
          </reference>
        </references>
      </pivotArea>
    </calculatedItem>
    <calculatedItem>
      <pivotArea cacheIndex="1" outline="0" fieldPosition="0">
        <references count="1">
          <reference field="4" count="1">
            <x v="32"/>
          </reference>
        </references>
      </pivotArea>
    </calculatedItem>
    <calculatedItem>
      <pivotArea cacheIndex="1" outline="0" fieldPosition="0">
        <references count="1">
          <reference field="4" count="1">
            <x v="33"/>
          </reference>
        </references>
      </pivotArea>
    </calculatedItem>
    <calculatedItem>
      <pivotArea cacheIndex="1" outline="0" fieldPosition="0">
        <references count="1">
          <reference field="4" count="1">
            <x v="34"/>
          </reference>
        </references>
      </pivotArea>
    </calculatedItem>
    <calculatedItem>
      <pivotArea cacheIndex="1" outline="0" fieldPosition="0">
        <references count="1">
          <reference field="4" count="1">
            <x v="35"/>
          </reference>
        </references>
      </pivotArea>
    </calculatedItem>
    <calculatedItem>
      <pivotArea cacheIndex="1" outline="0" fieldPosition="0">
        <references count="1">
          <reference field="4" count="1">
            <x v="36"/>
          </reference>
        </references>
      </pivotArea>
    </calculatedItem>
    <calculatedItem>
      <pivotArea cacheIndex="1" outline="0" fieldPosition="0">
        <references count="1">
          <reference field="4" count="1">
            <x v="37"/>
          </reference>
        </references>
      </pivotArea>
    </calculatedItem>
    <calculatedItem>
      <pivotArea cacheIndex="1" outline="0" fieldPosition="0">
        <references count="1">
          <reference field="4" count="1">
            <x v="38"/>
          </reference>
        </references>
      </pivotArea>
    </calculatedItem>
    <calculatedItem>
      <pivotArea cacheIndex="1" outline="0" fieldPosition="0">
        <references count="1">
          <reference field="4" count="1">
            <x v="39"/>
          </reference>
        </references>
      </pivotArea>
    </calculatedItem>
    <calculatedItem>
      <pivotArea cacheIndex="1" outline="0" fieldPosition="0">
        <references count="1">
          <reference field="4" count="1">
            <x v="40"/>
          </reference>
        </references>
      </pivotArea>
    </calculatedItem>
    <calculatedItem>
      <pivotArea cacheIndex="1" outline="0" fieldPosition="0">
        <references count="1">
          <reference field="4" count="1">
            <x v="41"/>
          </reference>
        </references>
      </pivotArea>
    </calculatedItem>
    <calculatedItem>
      <pivotArea cacheIndex="1" fieldPosition="0">
        <references count="1">
          <reference field="4" count="1">
            <x v="26"/>
          </reference>
        </references>
      </pivotArea>
    </calculatedItem>
    <calculatedItem>
      <pivotArea cacheIndex="1" fieldPosition="0">
        <references count="1">
          <reference field="4" count="1">
            <x v="34"/>
          </reference>
        </references>
      </pivotArea>
    </calculatedItem>
    <calculatedItem>
      <pivotArea cacheIndex="1" outline="0" fieldPosition="0">
        <references count="1">
          <reference field="4" count="1">
            <x v="42"/>
          </reference>
        </references>
      </pivotArea>
    </calculatedItem>
    <calculatedItem>
      <pivotArea cacheIndex="1" outline="0" fieldPosition="0">
        <references count="1">
          <reference field="2" count="1">
            <x v="8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x v="0"/>
    <s v="Nimali Silva"/>
    <x v="0"/>
    <x v="0"/>
    <x v="0"/>
    <n v="6"/>
    <n v="171901.06"/>
    <n v="1031406.36"/>
    <n v="1031406.36"/>
    <n v="128556.7"/>
    <x v="0"/>
  </r>
  <r>
    <x v="1"/>
    <x v="1"/>
    <x v="1"/>
    <s v="Kasun Perera"/>
    <x v="0"/>
    <x v="1"/>
    <x v="1"/>
    <n v="1"/>
    <n v="1102.49"/>
    <n v="1102.49"/>
    <n v="1102.49"/>
    <n v="139.5"/>
    <x v="1"/>
  </r>
  <r>
    <x v="2"/>
    <x v="2"/>
    <x v="2"/>
    <s v="Amaya Fernando"/>
    <x v="1"/>
    <x v="1"/>
    <x v="2"/>
    <n v="4"/>
    <n v="916.07"/>
    <n v="3664.28"/>
    <n v="3664.28"/>
    <n v="886.34"/>
    <x v="2"/>
  </r>
  <r>
    <x v="3"/>
    <x v="3"/>
    <x v="2"/>
    <s v="Piumi Silva"/>
    <x v="2"/>
    <x v="2"/>
    <x v="3"/>
    <n v="2"/>
    <n v="7094.38"/>
    <n v="14188.76"/>
    <n v="14188.76"/>
    <n v="2090.27"/>
    <x v="2"/>
  </r>
  <r>
    <x v="4"/>
    <x v="4"/>
    <x v="3"/>
    <s v="Nimali Silva"/>
    <x v="0"/>
    <x v="2"/>
    <x v="4"/>
    <n v="1"/>
    <n v="2614.87"/>
    <n v="2614.87"/>
    <n v="2614.87"/>
    <n v="489.62"/>
    <x v="2"/>
  </r>
  <r>
    <x v="5"/>
    <x v="5"/>
    <x v="0"/>
    <s v="Sahan Kumara"/>
    <x v="2"/>
    <x v="2"/>
    <x v="3"/>
    <n v="6"/>
    <n v="5940.42"/>
    <n v="35642.519999999997"/>
    <n v="35642.520000000004"/>
    <n v="7565.22"/>
    <x v="1"/>
  </r>
  <r>
    <x v="6"/>
    <x v="6"/>
    <x v="4"/>
    <s v="Tharushi Perera"/>
    <x v="3"/>
    <x v="0"/>
    <x v="5"/>
    <n v="3"/>
    <n v="54487.51"/>
    <n v="163462.53"/>
    <n v="163462.53"/>
    <n v="40346.160000000003"/>
    <x v="1"/>
  </r>
  <r>
    <x v="7"/>
    <x v="7"/>
    <x v="5"/>
    <s v="Amaya Fernando"/>
    <x v="4"/>
    <x v="2"/>
    <x v="6"/>
    <n v="5"/>
    <n v="12323.95"/>
    <n v="61619.75"/>
    <n v="61619.75"/>
    <n v="11512.29"/>
    <x v="3"/>
  </r>
  <r>
    <x v="8"/>
    <x v="8"/>
    <x v="2"/>
    <s v="Dilan Jayasinghe"/>
    <x v="5"/>
    <x v="2"/>
    <x v="3"/>
    <n v="6"/>
    <n v="6271.57"/>
    <n v="37629.42"/>
    <n v="37629.42"/>
    <n v="8792.59"/>
    <x v="2"/>
  </r>
  <r>
    <x v="9"/>
    <x v="9"/>
    <x v="6"/>
    <s v="Tharushi Perera"/>
    <x v="6"/>
    <x v="1"/>
    <x v="7"/>
    <n v="1"/>
    <n v="1695.95"/>
    <n v="1695.95"/>
    <n v="1695.95"/>
    <n v="455.5"/>
    <x v="3"/>
  </r>
  <r>
    <x v="10"/>
    <x v="10"/>
    <x v="7"/>
    <s v="Nethmi Wijesinghe"/>
    <x v="7"/>
    <x v="1"/>
    <x v="8"/>
    <n v="2"/>
    <n v="667.08"/>
    <n v="1334.16"/>
    <n v="1334.16"/>
    <n v="172.54"/>
    <x v="3"/>
  </r>
  <r>
    <x v="11"/>
    <x v="11"/>
    <x v="7"/>
    <s v="Nimali Silva"/>
    <x v="5"/>
    <x v="1"/>
    <x v="7"/>
    <n v="2"/>
    <n v="1979.04"/>
    <n v="3958.08"/>
    <n v="3958.08"/>
    <n v="426.15"/>
    <x v="0"/>
  </r>
  <r>
    <x v="12"/>
    <x v="12"/>
    <x v="3"/>
    <s v="Chamod Senanayake"/>
    <x v="4"/>
    <x v="3"/>
    <x v="9"/>
    <n v="6"/>
    <n v="63988.08"/>
    <n v="383928.48"/>
    <n v="383928.48"/>
    <n v="35592.300000000003"/>
    <x v="2"/>
  </r>
  <r>
    <x v="13"/>
    <x v="13"/>
    <x v="0"/>
    <s v="Tharushi Perera"/>
    <x v="2"/>
    <x v="0"/>
    <x v="0"/>
    <n v="6"/>
    <n v="193852.38"/>
    <n v="1163114.28"/>
    <n v="1163114.28"/>
    <n v="267720.48"/>
    <x v="2"/>
  </r>
  <r>
    <x v="14"/>
    <x v="14"/>
    <x v="0"/>
    <s v="Sahan Kumara"/>
    <x v="0"/>
    <x v="1"/>
    <x v="2"/>
    <n v="4"/>
    <n v="810.58"/>
    <n v="3242.32"/>
    <n v="3242.32"/>
    <n v="727.64"/>
    <x v="1"/>
  </r>
  <r>
    <x v="15"/>
    <x v="15"/>
    <x v="3"/>
    <s v="Amaya Fernando"/>
    <x v="0"/>
    <x v="0"/>
    <x v="10"/>
    <n v="6"/>
    <n v="18027.59"/>
    <n v="108165.54"/>
    <n v="108165.54000000001"/>
    <n v="12956.31"/>
    <x v="0"/>
  </r>
  <r>
    <x v="16"/>
    <x v="16"/>
    <x v="6"/>
    <s v="Sahan Kumara"/>
    <x v="6"/>
    <x v="2"/>
    <x v="11"/>
    <n v="1"/>
    <n v="12913.23"/>
    <n v="12913.23"/>
    <n v="12913.23"/>
    <n v="1970.51"/>
    <x v="0"/>
  </r>
  <r>
    <x v="17"/>
    <x v="17"/>
    <x v="0"/>
    <s v="Nethmi Wijesinghe"/>
    <x v="8"/>
    <x v="3"/>
    <x v="12"/>
    <n v="1"/>
    <n v="43948.02"/>
    <n v="43948.02"/>
    <n v="43948.02"/>
    <n v="10688.36"/>
    <x v="1"/>
  </r>
  <r>
    <x v="18"/>
    <x v="18"/>
    <x v="4"/>
    <s v="Nethmi Wijesinghe"/>
    <x v="6"/>
    <x v="1"/>
    <x v="2"/>
    <n v="3"/>
    <n v="904.98"/>
    <n v="2714.94"/>
    <n v="2714.94"/>
    <n v="546.57000000000005"/>
    <x v="2"/>
  </r>
  <r>
    <x v="19"/>
    <x v="19"/>
    <x v="5"/>
    <s v="Dilan Jayasinghe"/>
    <x v="2"/>
    <x v="1"/>
    <x v="7"/>
    <n v="4"/>
    <n v="1943.86"/>
    <n v="7775.44"/>
    <n v="7775.44"/>
    <n v="1324.14"/>
    <x v="2"/>
  </r>
  <r>
    <x v="20"/>
    <x v="20"/>
    <x v="1"/>
    <s v="Kasun Perera"/>
    <x v="6"/>
    <x v="0"/>
    <x v="13"/>
    <n v="5"/>
    <n v="89684.13"/>
    <n v="448420.65"/>
    <n v="448420.65"/>
    <n v="42240.61"/>
    <x v="0"/>
  </r>
  <r>
    <x v="21"/>
    <x v="21"/>
    <x v="7"/>
    <s v="Dilan Jayasinghe"/>
    <x v="0"/>
    <x v="0"/>
    <x v="10"/>
    <n v="1"/>
    <n v="18050.96"/>
    <n v="18050.96"/>
    <n v="18050.96"/>
    <n v="2449.4299999999998"/>
    <x v="1"/>
  </r>
  <r>
    <x v="22"/>
    <x v="22"/>
    <x v="2"/>
    <s v="Piumi Silva"/>
    <x v="3"/>
    <x v="1"/>
    <x v="2"/>
    <n v="4"/>
    <n v="955.35"/>
    <n v="3821.4"/>
    <n v="3821.4"/>
    <n v="451.24"/>
    <x v="3"/>
  </r>
  <r>
    <x v="23"/>
    <x v="23"/>
    <x v="1"/>
    <s v="Nimali Silva"/>
    <x v="5"/>
    <x v="1"/>
    <x v="8"/>
    <n v="6"/>
    <n v="637.58000000000004"/>
    <n v="3825.48"/>
    <n v="3825.4800000000005"/>
    <n v="805.99"/>
    <x v="3"/>
  </r>
  <r>
    <x v="24"/>
    <x v="24"/>
    <x v="4"/>
    <s v="Piumi Silva"/>
    <x v="8"/>
    <x v="2"/>
    <x v="6"/>
    <n v="2"/>
    <n v="11259.82"/>
    <n v="22519.64"/>
    <n v="22519.64"/>
    <n v="4216.96"/>
    <x v="2"/>
  </r>
  <r>
    <x v="25"/>
    <x v="25"/>
    <x v="7"/>
    <s v="Nimali Silva"/>
    <x v="5"/>
    <x v="1"/>
    <x v="2"/>
    <n v="1"/>
    <n v="889.76"/>
    <n v="889.76"/>
    <n v="889.76"/>
    <n v="224.46"/>
    <x v="0"/>
  </r>
  <r>
    <x v="26"/>
    <x v="26"/>
    <x v="6"/>
    <s v="Piumi Silva"/>
    <x v="5"/>
    <x v="0"/>
    <x v="13"/>
    <n v="2"/>
    <n v="93221.87"/>
    <n v="186443.74"/>
    <n v="186443.74"/>
    <n v="32864.75"/>
    <x v="1"/>
  </r>
  <r>
    <x v="27"/>
    <x v="27"/>
    <x v="3"/>
    <s v="Sahan Kumara"/>
    <x v="1"/>
    <x v="1"/>
    <x v="1"/>
    <n v="4"/>
    <n v="1143.6500000000001"/>
    <n v="4574.6000000000004"/>
    <n v="4574.6000000000004"/>
    <n v="1083.33"/>
    <x v="3"/>
  </r>
  <r>
    <x v="28"/>
    <x v="0"/>
    <x v="0"/>
    <s v="Nethmi Wijesinghe"/>
    <x v="5"/>
    <x v="3"/>
    <x v="9"/>
    <n v="3"/>
    <n v="61330.11"/>
    <n v="183990.33"/>
    <n v="183990.33000000002"/>
    <n v="16871.3"/>
    <x v="2"/>
  </r>
  <r>
    <x v="29"/>
    <x v="28"/>
    <x v="7"/>
    <s v="Amaya Fernando"/>
    <x v="5"/>
    <x v="0"/>
    <x v="0"/>
    <n v="5"/>
    <n v="179164.39"/>
    <n v="895821.95"/>
    <n v="895821.95000000007"/>
    <n v="236387.19"/>
    <x v="0"/>
  </r>
  <r>
    <x v="30"/>
    <x v="29"/>
    <x v="3"/>
    <s v="Nimali Silva"/>
    <x v="6"/>
    <x v="3"/>
    <x v="12"/>
    <n v="5"/>
    <n v="38370.870000000003"/>
    <n v="191854.35"/>
    <n v="191854.35"/>
    <n v="48417.1"/>
    <x v="0"/>
  </r>
  <r>
    <x v="31"/>
    <x v="30"/>
    <x v="5"/>
    <s v="Dilan Jayasinghe"/>
    <x v="3"/>
    <x v="0"/>
    <x v="5"/>
    <n v="6"/>
    <n v="55920.4"/>
    <n v="335522.40000000002"/>
    <n v="335522.40000000002"/>
    <n v="61922.85"/>
    <x v="1"/>
  </r>
  <r>
    <x v="32"/>
    <x v="31"/>
    <x v="5"/>
    <s v="Nimali Silva"/>
    <x v="5"/>
    <x v="2"/>
    <x v="11"/>
    <n v="2"/>
    <n v="14480.73"/>
    <n v="28961.46"/>
    <n v="28961.46"/>
    <n v="4054.59"/>
    <x v="3"/>
  </r>
  <r>
    <x v="33"/>
    <x v="32"/>
    <x v="5"/>
    <s v="Nimali Silva"/>
    <x v="6"/>
    <x v="0"/>
    <x v="0"/>
    <n v="5"/>
    <n v="169673.56"/>
    <n v="848367.8"/>
    <n v="848367.8"/>
    <n v="112866.92"/>
    <x v="2"/>
  </r>
  <r>
    <x v="34"/>
    <x v="33"/>
    <x v="1"/>
    <s v="Nethmi Wijesinghe"/>
    <x v="5"/>
    <x v="2"/>
    <x v="3"/>
    <n v="4"/>
    <n v="6933.87"/>
    <n v="27735.48"/>
    <n v="27735.48"/>
    <n v="6121.44"/>
    <x v="2"/>
  </r>
  <r>
    <x v="35"/>
    <x v="34"/>
    <x v="7"/>
    <s v="Amaya Fernando"/>
    <x v="7"/>
    <x v="0"/>
    <x v="13"/>
    <n v="3"/>
    <n v="87693.14"/>
    <n v="263079.42"/>
    <n v="263079.42"/>
    <n v="26678.15"/>
    <x v="2"/>
  </r>
  <r>
    <x v="36"/>
    <x v="35"/>
    <x v="7"/>
    <s v="Ravindu Fernando"/>
    <x v="7"/>
    <x v="3"/>
    <x v="14"/>
    <n v="2"/>
    <n v="8818.75"/>
    <n v="17637.5"/>
    <n v="17637.5"/>
    <n v="4419.6499999999996"/>
    <x v="0"/>
  </r>
  <r>
    <x v="37"/>
    <x v="36"/>
    <x v="4"/>
    <s v="Sahan Kumara"/>
    <x v="8"/>
    <x v="0"/>
    <x v="5"/>
    <n v="3"/>
    <n v="49984.95"/>
    <n v="149954.85"/>
    <n v="149954.84999999998"/>
    <n v="22000.07"/>
    <x v="3"/>
  </r>
  <r>
    <x v="38"/>
    <x v="37"/>
    <x v="4"/>
    <s v="Nethmi Wijesinghe"/>
    <x v="5"/>
    <x v="1"/>
    <x v="1"/>
    <n v="1"/>
    <n v="1098.06"/>
    <n v="1098.06"/>
    <n v="1098.06"/>
    <n v="281.79000000000002"/>
    <x v="2"/>
  </r>
  <r>
    <x v="39"/>
    <x v="38"/>
    <x v="0"/>
    <s v="Kasun Perera"/>
    <x v="3"/>
    <x v="3"/>
    <x v="15"/>
    <n v="2"/>
    <n v="27250.97"/>
    <n v="54501.94"/>
    <n v="54501.94"/>
    <n v="8335"/>
    <x v="1"/>
  </r>
  <r>
    <x v="40"/>
    <x v="39"/>
    <x v="3"/>
    <s v="Chamod Senanayake"/>
    <x v="8"/>
    <x v="3"/>
    <x v="12"/>
    <n v="3"/>
    <n v="44352.98"/>
    <n v="133058.94"/>
    <n v="133058.94"/>
    <n v="34173.120000000003"/>
    <x v="1"/>
  </r>
  <r>
    <x v="41"/>
    <x v="40"/>
    <x v="5"/>
    <s v="Piumi Silva"/>
    <x v="6"/>
    <x v="3"/>
    <x v="9"/>
    <n v="4"/>
    <n v="58822.22"/>
    <n v="235288.88"/>
    <n v="235288.88"/>
    <n v="53484.2"/>
    <x v="2"/>
  </r>
  <r>
    <x v="42"/>
    <x v="41"/>
    <x v="4"/>
    <s v="Dilan Jayasinghe"/>
    <x v="4"/>
    <x v="3"/>
    <x v="12"/>
    <n v="4"/>
    <n v="45126.2"/>
    <n v="180504.8"/>
    <n v="180504.8"/>
    <n v="45436.42"/>
    <x v="2"/>
  </r>
  <r>
    <x v="43"/>
    <x v="42"/>
    <x v="5"/>
    <s v="Sahan Kumara"/>
    <x v="2"/>
    <x v="2"/>
    <x v="3"/>
    <n v="2"/>
    <n v="5880.76"/>
    <n v="11761.52"/>
    <n v="11761.52"/>
    <n v="1395.22"/>
    <x v="2"/>
  </r>
  <r>
    <x v="44"/>
    <x v="43"/>
    <x v="2"/>
    <s v="Nimali Silva"/>
    <x v="7"/>
    <x v="2"/>
    <x v="11"/>
    <n v="6"/>
    <n v="15347.22"/>
    <n v="92083.32"/>
    <n v="92083.319999999992"/>
    <n v="17241.97"/>
    <x v="1"/>
  </r>
  <r>
    <x v="45"/>
    <x v="44"/>
    <x v="0"/>
    <s v="Tharushi Perera"/>
    <x v="1"/>
    <x v="2"/>
    <x v="6"/>
    <n v="1"/>
    <n v="12231.77"/>
    <n v="12231.77"/>
    <n v="12231.77"/>
    <n v="1824.21"/>
    <x v="0"/>
  </r>
  <r>
    <x v="46"/>
    <x v="45"/>
    <x v="7"/>
    <s v="Nethmi Wijesinghe"/>
    <x v="6"/>
    <x v="1"/>
    <x v="2"/>
    <n v="3"/>
    <n v="817.99"/>
    <n v="2453.9699999999998"/>
    <n v="2453.9700000000003"/>
    <n v="410.33"/>
    <x v="2"/>
  </r>
  <r>
    <x v="47"/>
    <x v="46"/>
    <x v="1"/>
    <s v="Nimali Silva"/>
    <x v="7"/>
    <x v="1"/>
    <x v="1"/>
    <n v="6"/>
    <n v="1300.99"/>
    <n v="7805.94"/>
    <n v="7805.9400000000005"/>
    <n v="1597.34"/>
    <x v="2"/>
  </r>
  <r>
    <x v="48"/>
    <x v="47"/>
    <x v="4"/>
    <s v="Piumi Silva"/>
    <x v="1"/>
    <x v="1"/>
    <x v="7"/>
    <n v="4"/>
    <n v="1871"/>
    <n v="7484"/>
    <n v="7484"/>
    <n v="1428.56"/>
    <x v="1"/>
  </r>
  <r>
    <x v="49"/>
    <x v="48"/>
    <x v="4"/>
    <s v="Piumi Silva"/>
    <x v="3"/>
    <x v="2"/>
    <x v="11"/>
    <n v="5"/>
    <n v="14934.43"/>
    <n v="74672.149999999994"/>
    <n v="74672.149999999994"/>
    <n v="10511.97"/>
    <x v="3"/>
  </r>
  <r>
    <x v="50"/>
    <x v="49"/>
    <x v="6"/>
    <s v="Amaya Fernando"/>
    <x v="2"/>
    <x v="1"/>
    <x v="8"/>
    <n v="6"/>
    <n v="659.92"/>
    <n v="3959.52"/>
    <n v="3959.5199999999995"/>
    <n v="691.48"/>
    <x v="2"/>
  </r>
  <r>
    <x v="51"/>
    <x v="50"/>
    <x v="4"/>
    <s v="Amaya Fernando"/>
    <x v="5"/>
    <x v="2"/>
    <x v="6"/>
    <n v="2"/>
    <n v="12414.71"/>
    <n v="24829.42"/>
    <n v="24829.42"/>
    <n v="3101.89"/>
    <x v="0"/>
  </r>
  <r>
    <x v="52"/>
    <x v="51"/>
    <x v="3"/>
    <s v="Chamod Senanayake"/>
    <x v="6"/>
    <x v="3"/>
    <x v="15"/>
    <n v="5"/>
    <n v="32098.43"/>
    <n v="160492.15"/>
    <n v="160492.15"/>
    <n v="15177.04"/>
    <x v="3"/>
  </r>
  <r>
    <x v="53"/>
    <x v="52"/>
    <x v="6"/>
    <s v="Nimali Silva"/>
    <x v="1"/>
    <x v="1"/>
    <x v="8"/>
    <n v="2"/>
    <n v="650.66"/>
    <n v="1301.32"/>
    <n v="1301.32"/>
    <n v="283.07"/>
    <x v="1"/>
  </r>
  <r>
    <x v="54"/>
    <x v="53"/>
    <x v="4"/>
    <s v="Ravindu Fernando"/>
    <x v="8"/>
    <x v="3"/>
    <x v="15"/>
    <n v="1"/>
    <n v="30344.43"/>
    <n v="30344.43"/>
    <n v="30344.43"/>
    <n v="7995.58"/>
    <x v="3"/>
  </r>
  <r>
    <x v="55"/>
    <x v="54"/>
    <x v="3"/>
    <s v="Nethmi Wijesinghe"/>
    <x v="4"/>
    <x v="2"/>
    <x v="11"/>
    <n v="5"/>
    <n v="14882.02"/>
    <n v="74410.100000000006"/>
    <n v="74410.100000000006"/>
    <n v="19227.87"/>
    <x v="1"/>
  </r>
  <r>
    <x v="56"/>
    <x v="55"/>
    <x v="5"/>
    <s v="Nethmi Wijesinghe"/>
    <x v="4"/>
    <x v="1"/>
    <x v="8"/>
    <n v="3"/>
    <n v="735.25"/>
    <n v="2205.75"/>
    <n v="2205.75"/>
    <n v="546.97"/>
    <x v="1"/>
  </r>
  <r>
    <x v="57"/>
    <x v="40"/>
    <x v="5"/>
    <s v="Tharushi Perera"/>
    <x v="0"/>
    <x v="2"/>
    <x v="11"/>
    <n v="1"/>
    <n v="14597.93"/>
    <n v="14597.93"/>
    <n v="14597.93"/>
    <n v="1852.46"/>
    <x v="0"/>
  </r>
  <r>
    <x v="58"/>
    <x v="18"/>
    <x v="4"/>
    <s v="Nimali Silva"/>
    <x v="1"/>
    <x v="3"/>
    <x v="9"/>
    <n v="2"/>
    <n v="63479.46"/>
    <n v="126958.92"/>
    <n v="126958.92"/>
    <n v="14036.71"/>
    <x v="3"/>
  </r>
  <r>
    <x v="59"/>
    <x v="56"/>
    <x v="3"/>
    <s v="Chamod Senanayake"/>
    <x v="5"/>
    <x v="2"/>
    <x v="11"/>
    <n v="4"/>
    <n v="12774.34"/>
    <n v="51097.36"/>
    <n v="51097.36"/>
    <n v="12599.5"/>
    <x v="3"/>
  </r>
  <r>
    <x v="60"/>
    <x v="52"/>
    <x v="6"/>
    <s v="Piumi Silva"/>
    <x v="0"/>
    <x v="1"/>
    <x v="1"/>
    <n v="3"/>
    <n v="1151.67"/>
    <n v="3455.01"/>
    <n v="3455.01"/>
    <n v="545.88"/>
    <x v="1"/>
  </r>
  <r>
    <x v="61"/>
    <x v="57"/>
    <x v="5"/>
    <s v="Piumi Silva"/>
    <x v="8"/>
    <x v="1"/>
    <x v="2"/>
    <n v="3"/>
    <n v="888.45"/>
    <n v="2665.35"/>
    <n v="2665.3500000000004"/>
    <n v="228.7"/>
    <x v="3"/>
  </r>
  <r>
    <x v="62"/>
    <x v="58"/>
    <x v="2"/>
    <s v="Piumi Silva"/>
    <x v="8"/>
    <x v="3"/>
    <x v="12"/>
    <n v="4"/>
    <n v="42771.9"/>
    <n v="171087.6"/>
    <n v="171087.6"/>
    <n v="36373.22"/>
    <x v="3"/>
  </r>
  <r>
    <x v="63"/>
    <x v="59"/>
    <x v="5"/>
    <s v="Tharushi Perera"/>
    <x v="1"/>
    <x v="3"/>
    <x v="12"/>
    <n v="3"/>
    <n v="40984.47"/>
    <n v="122953.41"/>
    <n v="122953.41"/>
    <n v="15041.14"/>
    <x v="2"/>
  </r>
  <r>
    <x v="64"/>
    <x v="60"/>
    <x v="2"/>
    <s v="Tharushi Perera"/>
    <x v="6"/>
    <x v="1"/>
    <x v="7"/>
    <n v="1"/>
    <n v="1789.31"/>
    <n v="1789.31"/>
    <n v="1789.31"/>
    <n v="411.19"/>
    <x v="0"/>
  </r>
  <r>
    <x v="65"/>
    <x v="61"/>
    <x v="4"/>
    <s v="Dilan Jayasinghe"/>
    <x v="8"/>
    <x v="0"/>
    <x v="0"/>
    <n v="2"/>
    <n v="169176.98"/>
    <n v="338353.96"/>
    <n v="338353.96"/>
    <n v="28447.45"/>
    <x v="3"/>
  </r>
  <r>
    <x v="66"/>
    <x v="62"/>
    <x v="4"/>
    <s v="Chamod Senanayake"/>
    <x v="2"/>
    <x v="0"/>
    <x v="13"/>
    <n v="4"/>
    <n v="98789.83"/>
    <n v="395159.32"/>
    <n v="395159.32"/>
    <n v="92222.13"/>
    <x v="1"/>
  </r>
  <r>
    <x v="67"/>
    <x v="63"/>
    <x v="1"/>
    <s v="Piumi Silva"/>
    <x v="1"/>
    <x v="2"/>
    <x v="6"/>
    <n v="5"/>
    <n v="10861.63"/>
    <n v="54308.15"/>
    <n v="54308.149999999994"/>
    <n v="7733.02"/>
    <x v="1"/>
  </r>
  <r>
    <x v="68"/>
    <x v="64"/>
    <x v="1"/>
    <s v="Chamod Senanayake"/>
    <x v="2"/>
    <x v="0"/>
    <x v="13"/>
    <n v="1"/>
    <n v="98746.67"/>
    <n v="98746.67"/>
    <n v="98746.67"/>
    <n v="13855.79"/>
    <x v="0"/>
  </r>
  <r>
    <x v="69"/>
    <x v="65"/>
    <x v="5"/>
    <s v="Kasun Perera"/>
    <x v="1"/>
    <x v="2"/>
    <x v="11"/>
    <n v="6"/>
    <n v="13637.6"/>
    <n v="81825.600000000006"/>
    <n v="81825.600000000006"/>
    <n v="14826.16"/>
    <x v="3"/>
  </r>
  <r>
    <x v="70"/>
    <x v="66"/>
    <x v="0"/>
    <s v="Amaya Fernando"/>
    <x v="1"/>
    <x v="0"/>
    <x v="5"/>
    <n v="3"/>
    <n v="56491.44"/>
    <n v="169474.32"/>
    <n v="169474.32"/>
    <n v="41646.870000000003"/>
    <x v="1"/>
  </r>
  <r>
    <x v="71"/>
    <x v="67"/>
    <x v="5"/>
    <s v="Tharushi Perera"/>
    <x v="6"/>
    <x v="2"/>
    <x v="11"/>
    <n v="4"/>
    <n v="13819.61"/>
    <n v="55278.44"/>
    <n v="55278.44"/>
    <n v="12504.27"/>
    <x v="0"/>
  </r>
  <r>
    <x v="72"/>
    <x v="68"/>
    <x v="1"/>
    <s v="Piumi Silva"/>
    <x v="3"/>
    <x v="2"/>
    <x v="11"/>
    <n v="2"/>
    <n v="14701.33"/>
    <n v="29402.66"/>
    <n v="29402.66"/>
    <n v="5703.23"/>
    <x v="0"/>
  </r>
  <r>
    <x v="73"/>
    <x v="30"/>
    <x v="5"/>
    <s v="Tharushi Perera"/>
    <x v="7"/>
    <x v="1"/>
    <x v="7"/>
    <n v="2"/>
    <n v="1795.52"/>
    <n v="3591.04"/>
    <n v="3591.04"/>
    <n v="542.12"/>
    <x v="2"/>
  </r>
  <r>
    <x v="74"/>
    <x v="69"/>
    <x v="7"/>
    <s v="Dilan Jayasinghe"/>
    <x v="4"/>
    <x v="0"/>
    <x v="13"/>
    <n v="1"/>
    <n v="90085.759999999995"/>
    <n v="90085.759999999995"/>
    <n v="90085.759999999995"/>
    <n v="14529.54"/>
    <x v="3"/>
  </r>
  <r>
    <x v="75"/>
    <x v="7"/>
    <x v="5"/>
    <s v="Sahan Kumara"/>
    <x v="3"/>
    <x v="1"/>
    <x v="1"/>
    <n v="1"/>
    <n v="1150.6199999999999"/>
    <n v="1150.6199999999999"/>
    <n v="1150.6199999999999"/>
    <n v="185.11"/>
    <x v="3"/>
  </r>
  <r>
    <x v="76"/>
    <x v="27"/>
    <x v="3"/>
    <s v="Sahan Kumara"/>
    <x v="7"/>
    <x v="2"/>
    <x v="11"/>
    <n v="6"/>
    <n v="14141.09"/>
    <n v="84846.54"/>
    <n v="84846.540000000008"/>
    <n v="12757.7"/>
    <x v="2"/>
  </r>
  <r>
    <x v="77"/>
    <x v="70"/>
    <x v="7"/>
    <s v="Amaya Fernando"/>
    <x v="6"/>
    <x v="3"/>
    <x v="12"/>
    <n v="6"/>
    <n v="39417.71"/>
    <n v="236506.26"/>
    <n v="236506.26"/>
    <n v="24575.59"/>
    <x v="1"/>
  </r>
  <r>
    <x v="78"/>
    <x v="71"/>
    <x v="1"/>
    <s v="Sahan Kumara"/>
    <x v="2"/>
    <x v="1"/>
    <x v="7"/>
    <n v="6"/>
    <n v="1832.25"/>
    <n v="10993.5"/>
    <n v="10993.5"/>
    <n v="2550.9499999999998"/>
    <x v="1"/>
  </r>
  <r>
    <x v="79"/>
    <x v="72"/>
    <x v="7"/>
    <s v="Amaya Fernando"/>
    <x v="7"/>
    <x v="2"/>
    <x v="3"/>
    <n v="3"/>
    <n v="6083.27"/>
    <n v="18249.810000000001"/>
    <n v="18249.810000000001"/>
    <n v="1511.63"/>
    <x v="0"/>
  </r>
  <r>
    <x v="80"/>
    <x v="73"/>
    <x v="0"/>
    <s v="Ravindu Fernando"/>
    <x v="2"/>
    <x v="0"/>
    <x v="10"/>
    <n v="6"/>
    <n v="19598.72"/>
    <n v="117592.32000000001"/>
    <n v="117592.32000000001"/>
    <n v="24409.1"/>
    <x v="0"/>
  </r>
  <r>
    <x v="81"/>
    <x v="60"/>
    <x v="2"/>
    <s v="Sahan Kumara"/>
    <x v="4"/>
    <x v="2"/>
    <x v="11"/>
    <n v="4"/>
    <n v="13833.31"/>
    <n v="55333.24"/>
    <n v="55333.24"/>
    <n v="6466.95"/>
    <x v="0"/>
  </r>
  <r>
    <x v="82"/>
    <x v="60"/>
    <x v="2"/>
    <s v="Amaya Fernando"/>
    <x v="8"/>
    <x v="0"/>
    <x v="5"/>
    <n v="4"/>
    <n v="50314.9"/>
    <n v="201259.6"/>
    <n v="201259.6"/>
    <n v="41437.17"/>
    <x v="2"/>
  </r>
  <r>
    <x v="83"/>
    <x v="71"/>
    <x v="1"/>
    <s v="Chamod Senanayake"/>
    <x v="6"/>
    <x v="0"/>
    <x v="13"/>
    <n v="1"/>
    <n v="96103.39"/>
    <n v="96103.39"/>
    <n v="96103.39"/>
    <n v="15687.42"/>
    <x v="3"/>
  </r>
  <r>
    <x v="84"/>
    <x v="74"/>
    <x v="5"/>
    <s v="Chamod Senanayake"/>
    <x v="5"/>
    <x v="1"/>
    <x v="8"/>
    <n v="3"/>
    <n v="750.42"/>
    <n v="2251.2600000000002"/>
    <n v="2251.2599999999998"/>
    <n v="625.86"/>
    <x v="0"/>
  </r>
  <r>
    <x v="85"/>
    <x v="75"/>
    <x v="4"/>
    <s v="Nethmi Wijesinghe"/>
    <x v="2"/>
    <x v="3"/>
    <x v="9"/>
    <n v="3"/>
    <n v="67085.570000000007"/>
    <n v="201256.71"/>
    <n v="201256.71000000002"/>
    <n v="22422.3"/>
    <x v="1"/>
  </r>
  <r>
    <x v="86"/>
    <x v="76"/>
    <x v="2"/>
    <s v="Dilan Jayasinghe"/>
    <x v="7"/>
    <x v="0"/>
    <x v="5"/>
    <n v="4"/>
    <n v="57083.08"/>
    <n v="228332.32"/>
    <n v="228332.32"/>
    <n v="39725.83"/>
    <x v="2"/>
  </r>
  <r>
    <x v="87"/>
    <x v="77"/>
    <x v="0"/>
    <s v="Chamod Senanayake"/>
    <x v="6"/>
    <x v="1"/>
    <x v="1"/>
    <n v="6"/>
    <n v="1136.02"/>
    <n v="6816.12"/>
    <n v="6816.12"/>
    <n v="905.94"/>
    <x v="3"/>
  </r>
  <r>
    <x v="88"/>
    <x v="78"/>
    <x v="4"/>
    <s v="Nimali Silva"/>
    <x v="5"/>
    <x v="0"/>
    <x v="13"/>
    <n v="6"/>
    <n v="88330.8"/>
    <n v="529984.80000000005"/>
    <n v="529984.80000000005"/>
    <n v="70555.02"/>
    <x v="1"/>
  </r>
  <r>
    <x v="89"/>
    <x v="79"/>
    <x v="1"/>
    <s v="Piumi Silva"/>
    <x v="7"/>
    <x v="2"/>
    <x v="4"/>
    <n v="4"/>
    <n v="2312.1799999999998"/>
    <n v="9248.7199999999993"/>
    <n v="9248.7199999999993"/>
    <n v="2013.78"/>
    <x v="3"/>
  </r>
  <r>
    <x v="90"/>
    <x v="80"/>
    <x v="5"/>
    <s v="Chamod Senanayake"/>
    <x v="7"/>
    <x v="1"/>
    <x v="1"/>
    <n v="5"/>
    <n v="1089.57"/>
    <n v="5447.85"/>
    <n v="5447.8499999999995"/>
    <n v="906.55"/>
    <x v="0"/>
  </r>
  <r>
    <x v="91"/>
    <x v="81"/>
    <x v="2"/>
    <s v="Sahan Kumara"/>
    <x v="5"/>
    <x v="0"/>
    <x v="13"/>
    <n v="6"/>
    <n v="101383.21"/>
    <n v="608299.26"/>
    <n v="608299.26"/>
    <n v="118642.58"/>
    <x v="1"/>
  </r>
  <r>
    <x v="92"/>
    <x v="82"/>
    <x v="1"/>
    <s v="Ravindu Fernando"/>
    <x v="2"/>
    <x v="1"/>
    <x v="8"/>
    <n v="3"/>
    <n v="655.41"/>
    <n v="1966.23"/>
    <n v="1966.23"/>
    <n v="387.48"/>
    <x v="3"/>
  </r>
  <r>
    <x v="93"/>
    <x v="6"/>
    <x v="4"/>
    <s v="Tharushi Perera"/>
    <x v="1"/>
    <x v="2"/>
    <x v="11"/>
    <n v="3"/>
    <n v="13498.96"/>
    <n v="40496.879999999997"/>
    <n v="40496.879999999997"/>
    <n v="4086.94"/>
    <x v="3"/>
  </r>
  <r>
    <x v="94"/>
    <x v="83"/>
    <x v="5"/>
    <s v="Tharushi Perera"/>
    <x v="2"/>
    <x v="2"/>
    <x v="11"/>
    <n v="5"/>
    <n v="12702.75"/>
    <n v="63513.75"/>
    <n v="63513.75"/>
    <n v="6199.7"/>
    <x v="3"/>
  </r>
  <r>
    <x v="95"/>
    <x v="84"/>
    <x v="1"/>
    <s v="Ravindu Fernando"/>
    <x v="4"/>
    <x v="0"/>
    <x v="5"/>
    <n v="4"/>
    <n v="50096.24"/>
    <n v="200384.96"/>
    <n v="200384.96"/>
    <n v="36808.29"/>
    <x v="0"/>
  </r>
  <r>
    <x v="96"/>
    <x v="85"/>
    <x v="6"/>
    <s v="Ravindu Fernando"/>
    <x v="2"/>
    <x v="3"/>
    <x v="14"/>
    <n v="5"/>
    <n v="7872.72"/>
    <n v="39363.599999999999"/>
    <n v="39363.599999999999"/>
    <n v="5416.66"/>
    <x v="0"/>
  </r>
  <r>
    <x v="97"/>
    <x v="3"/>
    <x v="2"/>
    <s v="Dilan Jayasinghe"/>
    <x v="2"/>
    <x v="3"/>
    <x v="9"/>
    <n v="3"/>
    <n v="65660.91"/>
    <n v="196982.73"/>
    <n v="196982.73"/>
    <n v="37515.42"/>
    <x v="3"/>
  </r>
  <r>
    <x v="98"/>
    <x v="86"/>
    <x v="1"/>
    <s v="Sahan Kumara"/>
    <x v="1"/>
    <x v="0"/>
    <x v="13"/>
    <n v="4"/>
    <n v="103220.41"/>
    <n v="412881.64"/>
    <n v="412881.64"/>
    <n v="57131.39"/>
    <x v="3"/>
  </r>
  <r>
    <x v="99"/>
    <x v="87"/>
    <x v="1"/>
    <s v="Nethmi Wijesinghe"/>
    <x v="8"/>
    <x v="1"/>
    <x v="2"/>
    <n v="4"/>
    <n v="909.23"/>
    <n v="3636.92"/>
    <n v="3636.92"/>
    <n v="569.97"/>
    <x v="0"/>
  </r>
  <r>
    <x v="100"/>
    <x v="88"/>
    <x v="0"/>
    <s v="Kasun Perera"/>
    <x v="7"/>
    <x v="2"/>
    <x v="11"/>
    <n v="3"/>
    <n v="15215.9"/>
    <n v="45647.7"/>
    <n v="45647.7"/>
    <n v="8287.23"/>
    <x v="2"/>
  </r>
  <r>
    <x v="101"/>
    <x v="34"/>
    <x v="7"/>
    <s v="Nethmi Wijesinghe"/>
    <x v="1"/>
    <x v="1"/>
    <x v="2"/>
    <n v="4"/>
    <n v="906.94"/>
    <n v="3627.76"/>
    <n v="3627.76"/>
    <n v="540.63"/>
    <x v="3"/>
  </r>
  <r>
    <x v="102"/>
    <x v="89"/>
    <x v="6"/>
    <s v="Piumi Silva"/>
    <x v="5"/>
    <x v="2"/>
    <x v="3"/>
    <n v="6"/>
    <n v="6160.45"/>
    <n v="36962.699999999997"/>
    <n v="36962.699999999997"/>
    <n v="5788.14"/>
    <x v="2"/>
  </r>
  <r>
    <x v="103"/>
    <x v="90"/>
    <x v="1"/>
    <s v="Amaya Fernando"/>
    <x v="4"/>
    <x v="1"/>
    <x v="8"/>
    <n v="4"/>
    <n v="768.38"/>
    <n v="3073.52"/>
    <n v="3073.52"/>
    <n v="732.97"/>
    <x v="0"/>
  </r>
  <r>
    <x v="104"/>
    <x v="91"/>
    <x v="7"/>
    <s v="Ravindu Fernando"/>
    <x v="5"/>
    <x v="3"/>
    <x v="14"/>
    <n v="1"/>
    <n v="9136.1200000000008"/>
    <n v="9136.1200000000008"/>
    <n v="9136.1200000000008"/>
    <n v="1535.43"/>
    <x v="1"/>
  </r>
  <r>
    <x v="105"/>
    <x v="57"/>
    <x v="5"/>
    <s v="Chamod Senanayake"/>
    <x v="1"/>
    <x v="1"/>
    <x v="2"/>
    <n v="1"/>
    <n v="894.51"/>
    <n v="894.51"/>
    <n v="894.51"/>
    <n v="244.95"/>
    <x v="0"/>
  </r>
  <r>
    <x v="106"/>
    <x v="21"/>
    <x v="7"/>
    <s v="Nethmi Wijesinghe"/>
    <x v="5"/>
    <x v="2"/>
    <x v="11"/>
    <n v="3"/>
    <n v="14355.04"/>
    <n v="43065.120000000003"/>
    <n v="43065.120000000003"/>
    <n v="11088.74"/>
    <x v="0"/>
  </r>
  <r>
    <x v="107"/>
    <x v="92"/>
    <x v="2"/>
    <s v="Nimali Silva"/>
    <x v="4"/>
    <x v="3"/>
    <x v="14"/>
    <n v="2"/>
    <n v="8919.5"/>
    <n v="17839"/>
    <n v="17839"/>
    <n v="2975.44"/>
    <x v="1"/>
  </r>
  <r>
    <x v="108"/>
    <x v="93"/>
    <x v="3"/>
    <s v="Tharushi Perera"/>
    <x v="1"/>
    <x v="2"/>
    <x v="6"/>
    <n v="1"/>
    <n v="11578.5"/>
    <n v="11578.5"/>
    <n v="11578.5"/>
    <n v="1056.24"/>
    <x v="1"/>
  </r>
  <r>
    <x v="109"/>
    <x v="75"/>
    <x v="4"/>
    <s v="Nimali Silva"/>
    <x v="1"/>
    <x v="3"/>
    <x v="15"/>
    <n v="5"/>
    <n v="31090.799999999999"/>
    <n v="155454"/>
    <n v="155454"/>
    <n v="18034.43"/>
    <x v="1"/>
  </r>
  <r>
    <x v="110"/>
    <x v="94"/>
    <x v="5"/>
    <s v="Kasun Perera"/>
    <x v="4"/>
    <x v="1"/>
    <x v="2"/>
    <n v="2"/>
    <n v="893.01"/>
    <n v="1786.02"/>
    <n v="1786.02"/>
    <n v="233.6"/>
    <x v="2"/>
  </r>
  <r>
    <x v="111"/>
    <x v="95"/>
    <x v="5"/>
    <s v="Piumi Silva"/>
    <x v="7"/>
    <x v="3"/>
    <x v="12"/>
    <n v="4"/>
    <n v="45739.98"/>
    <n v="182959.92"/>
    <n v="182959.92"/>
    <n v="50776.93"/>
    <x v="3"/>
  </r>
  <r>
    <x v="112"/>
    <x v="12"/>
    <x v="3"/>
    <s v="Chamod Senanayake"/>
    <x v="3"/>
    <x v="2"/>
    <x v="3"/>
    <n v="4"/>
    <n v="6959.34"/>
    <n v="27837.360000000001"/>
    <n v="27837.360000000001"/>
    <n v="2820.78"/>
    <x v="2"/>
  </r>
  <r>
    <x v="113"/>
    <x v="26"/>
    <x v="6"/>
    <s v="Kasun Perera"/>
    <x v="4"/>
    <x v="2"/>
    <x v="6"/>
    <n v="6"/>
    <n v="11749.93"/>
    <n v="70499.58"/>
    <n v="70499.58"/>
    <n v="5754.15"/>
    <x v="2"/>
  </r>
  <r>
    <x v="114"/>
    <x v="63"/>
    <x v="1"/>
    <s v="Amaya Fernando"/>
    <x v="2"/>
    <x v="3"/>
    <x v="14"/>
    <n v="2"/>
    <n v="8732.25"/>
    <n v="17464.5"/>
    <n v="17464.5"/>
    <n v="3565.87"/>
    <x v="0"/>
  </r>
  <r>
    <x v="115"/>
    <x v="3"/>
    <x v="2"/>
    <s v="Sahan Kumara"/>
    <x v="3"/>
    <x v="2"/>
    <x v="11"/>
    <n v="1"/>
    <n v="14222.81"/>
    <n v="14222.81"/>
    <n v="14222.81"/>
    <n v="3221.07"/>
    <x v="3"/>
  </r>
  <r>
    <x v="116"/>
    <x v="96"/>
    <x v="3"/>
    <s v="Nethmi Wijesinghe"/>
    <x v="0"/>
    <x v="3"/>
    <x v="9"/>
    <n v="2"/>
    <n v="68724.67"/>
    <n v="137449.34"/>
    <n v="137449.34"/>
    <n v="35089.730000000003"/>
    <x v="2"/>
  </r>
  <r>
    <x v="117"/>
    <x v="97"/>
    <x v="6"/>
    <s v="Tharushi Perera"/>
    <x v="2"/>
    <x v="3"/>
    <x v="14"/>
    <n v="4"/>
    <n v="9294.5499999999993"/>
    <n v="37178.199999999997"/>
    <n v="37178.199999999997"/>
    <n v="5168.82"/>
    <x v="3"/>
  </r>
  <r>
    <x v="118"/>
    <x v="98"/>
    <x v="3"/>
    <s v="Nethmi Wijesinghe"/>
    <x v="3"/>
    <x v="0"/>
    <x v="13"/>
    <n v="2"/>
    <n v="101842.67"/>
    <n v="203685.34"/>
    <n v="203685.34"/>
    <n v="45797.29"/>
    <x v="0"/>
  </r>
  <r>
    <x v="119"/>
    <x v="99"/>
    <x v="1"/>
    <s v="Sahan Kumara"/>
    <x v="1"/>
    <x v="1"/>
    <x v="1"/>
    <n v="3"/>
    <n v="1208.78"/>
    <n v="3626.34"/>
    <n v="3626.34"/>
    <n v="619.95000000000005"/>
    <x v="2"/>
  </r>
  <r>
    <x v="120"/>
    <x v="10"/>
    <x v="7"/>
    <s v="Tharushi Perera"/>
    <x v="6"/>
    <x v="0"/>
    <x v="13"/>
    <n v="4"/>
    <n v="85975.47"/>
    <n v="343901.88"/>
    <n v="343901.88"/>
    <n v="88330.16"/>
    <x v="0"/>
  </r>
  <r>
    <x v="121"/>
    <x v="100"/>
    <x v="2"/>
    <s v="Sahan Kumara"/>
    <x v="4"/>
    <x v="1"/>
    <x v="7"/>
    <n v="6"/>
    <n v="1766.99"/>
    <n v="10601.94"/>
    <n v="10601.94"/>
    <n v="1144.54"/>
    <x v="0"/>
  </r>
  <r>
    <x v="122"/>
    <x v="68"/>
    <x v="1"/>
    <s v="Nethmi Wijesinghe"/>
    <x v="1"/>
    <x v="0"/>
    <x v="13"/>
    <n v="5"/>
    <n v="88077.62"/>
    <n v="440388.1"/>
    <n v="440388.1"/>
    <n v="75186.91"/>
    <x v="1"/>
  </r>
  <r>
    <x v="123"/>
    <x v="101"/>
    <x v="5"/>
    <s v="Kasun Perera"/>
    <x v="3"/>
    <x v="1"/>
    <x v="1"/>
    <n v="4"/>
    <n v="1227.76"/>
    <n v="4911.04"/>
    <n v="4911.04"/>
    <n v="1315.23"/>
    <x v="1"/>
  </r>
  <r>
    <x v="124"/>
    <x v="64"/>
    <x v="1"/>
    <s v="Tharushi Perera"/>
    <x v="0"/>
    <x v="1"/>
    <x v="8"/>
    <n v="2"/>
    <n v="749.76"/>
    <n v="1499.52"/>
    <n v="1499.52"/>
    <n v="149.76"/>
    <x v="2"/>
  </r>
  <r>
    <x v="125"/>
    <x v="102"/>
    <x v="6"/>
    <s v="Ravindu Fernando"/>
    <x v="2"/>
    <x v="0"/>
    <x v="5"/>
    <n v="3"/>
    <n v="51587.89"/>
    <n v="154763.67000000001"/>
    <n v="154763.66999999998"/>
    <n v="16162.27"/>
    <x v="1"/>
  </r>
  <r>
    <x v="126"/>
    <x v="103"/>
    <x v="7"/>
    <s v="Dilan Jayasinghe"/>
    <x v="2"/>
    <x v="0"/>
    <x v="0"/>
    <n v="3"/>
    <n v="170768.48"/>
    <n v="512305.44"/>
    <n v="512305.44000000006"/>
    <n v="53886.73"/>
    <x v="1"/>
  </r>
  <r>
    <x v="127"/>
    <x v="71"/>
    <x v="1"/>
    <s v="Kasun Perera"/>
    <x v="7"/>
    <x v="3"/>
    <x v="9"/>
    <n v="3"/>
    <n v="68566.789999999994"/>
    <n v="205700.37"/>
    <n v="205700.37"/>
    <n v="48900.89"/>
    <x v="1"/>
  </r>
  <r>
    <x v="128"/>
    <x v="36"/>
    <x v="4"/>
    <s v="Kasun Perera"/>
    <x v="3"/>
    <x v="3"/>
    <x v="14"/>
    <n v="2"/>
    <n v="7836.87"/>
    <n v="15673.74"/>
    <n v="15673.74"/>
    <n v="3969.99"/>
    <x v="1"/>
  </r>
  <r>
    <x v="129"/>
    <x v="104"/>
    <x v="3"/>
    <s v="Nethmi Wijesinghe"/>
    <x v="2"/>
    <x v="2"/>
    <x v="6"/>
    <n v="2"/>
    <n v="11436.88"/>
    <n v="22873.759999999998"/>
    <n v="22873.759999999998"/>
    <n v="2409.79"/>
    <x v="0"/>
  </r>
  <r>
    <x v="130"/>
    <x v="105"/>
    <x v="7"/>
    <s v="Dilan Jayasinghe"/>
    <x v="5"/>
    <x v="1"/>
    <x v="8"/>
    <n v="3"/>
    <n v="701.85"/>
    <n v="2105.5500000000002"/>
    <n v="2105.5500000000002"/>
    <n v="214.37"/>
    <x v="2"/>
  </r>
  <r>
    <x v="131"/>
    <x v="54"/>
    <x v="3"/>
    <s v="Nimali Silva"/>
    <x v="4"/>
    <x v="1"/>
    <x v="1"/>
    <n v="1"/>
    <n v="1319.66"/>
    <n v="1319.66"/>
    <n v="1319.66"/>
    <n v="329.2"/>
    <x v="3"/>
  </r>
  <r>
    <x v="132"/>
    <x v="55"/>
    <x v="5"/>
    <s v="Chamod Senanayake"/>
    <x v="0"/>
    <x v="0"/>
    <x v="0"/>
    <n v="3"/>
    <n v="183898.71"/>
    <n v="551696.13"/>
    <n v="551696.13"/>
    <n v="51383.02"/>
    <x v="2"/>
  </r>
  <r>
    <x v="133"/>
    <x v="38"/>
    <x v="0"/>
    <s v="Nimali Silva"/>
    <x v="0"/>
    <x v="1"/>
    <x v="7"/>
    <n v="4"/>
    <n v="1802"/>
    <n v="7208"/>
    <n v="7208"/>
    <n v="1196.82"/>
    <x v="1"/>
  </r>
  <r>
    <x v="134"/>
    <x v="106"/>
    <x v="3"/>
    <s v="Piumi Silva"/>
    <x v="2"/>
    <x v="1"/>
    <x v="8"/>
    <n v="2"/>
    <n v="687.93"/>
    <n v="1375.86"/>
    <n v="1375.86"/>
    <n v="337.75"/>
    <x v="2"/>
  </r>
  <r>
    <x v="135"/>
    <x v="64"/>
    <x v="1"/>
    <s v="Ravindu Fernando"/>
    <x v="2"/>
    <x v="1"/>
    <x v="7"/>
    <n v="6"/>
    <n v="1711.76"/>
    <n v="10270.56"/>
    <n v="10270.56"/>
    <n v="2780.43"/>
    <x v="0"/>
  </r>
  <r>
    <x v="136"/>
    <x v="107"/>
    <x v="0"/>
    <s v="Amaya Fernando"/>
    <x v="0"/>
    <x v="0"/>
    <x v="0"/>
    <n v="4"/>
    <n v="165476.32"/>
    <n v="661905.28"/>
    <n v="661905.28"/>
    <n v="150755.01999999999"/>
    <x v="0"/>
  </r>
  <r>
    <x v="137"/>
    <x v="73"/>
    <x v="0"/>
    <s v="Piumi Silva"/>
    <x v="5"/>
    <x v="2"/>
    <x v="6"/>
    <n v="4"/>
    <n v="11648.64"/>
    <n v="46594.559999999998"/>
    <n v="46594.559999999998"/>
    <n v="9927.81"/>
    <x v="2"/>
  </r>
  <r>
    <x v="138"/>
    <x v="108"/>
    <x v="1"/>
    <s v="Ravindu Fernando"/>
    <x v="6"/>
    <x v="2"/>
    <x v="4"/>
    <n v="1"/>
    <n v="2538.96"/>
    <n v="2538.96"/>
    <n v="2538.96"/>
    <n v="311.14"/>
    <x v="0"/>
  </r>
  <r>
    <x v="139"/>
    <x v="109"/>
    <x v="0"/>
    <s v="Piumi Silva"/>
    <x v="0"/>
    <x v="2"/>
    <x v="4"/>
    <n v="1"/>
    <n v="2631.3"/>
    <n v="2631.3"/>
    <n v="2631.3"/>
    <n v="512.63"/>
    <x v="0"/>
  </r>
  <r>
    <x v="140"/>
    <x v="57"/>
    <x v="5"/>
    <s v="Tharushi Perera"/>
    <x v="5"/>
    <x v="2"/>
    <x v="6"/>
    <n v="2"/>
    <n v="11455.85"/>
    <n v="22911.7"/>
    <n v="22911.7"/>
    <n v="5326.56"/>
    <x v="1"/>
  </r>
  <r>
    <x v="141"/>
    <x v="43"/>
    <x v="2"/>
    <s v="Nimali Silva"/>
    <x v="0"/>
    <x v="3"/>
    <x v="15"/>
    <n v="1"/>
    <n v="27851.25"/>
    <n v="27851.25"/>
    <n v="27851.25"/>
    <n v="5755.03"/>
    <x v="1"/>
  </r>
  <r>
    <x v="142"/>
    <x v="14"/>
    <x v="0"/>
    <s v="Tharushi Perera"/>
    <x v="2"/>
    <x v="1"/>
    <x v="8"/>
    <n v="4"/>
    <n v="677.73"/>
    <n v="2710.92"/>
    <n v="2710.92"/>
    <n v="417.51"/>
    <x v="0"/>
  </r>
  <r>
    <x v="143"/>
    <x v="110"/>
    <x v="3"/>
    <s v="Piumi Silva"/>
    <x v="4"/>
    <x v="3"/>
    <x v="9"/>
    <n v="5"/>
    <n v="59146.91"/>
    <n v="295734.55"/>
    <n v="295734.55000000005"/>
    <n v="28484.06"/>
    <x v="3"/>
  </r>
  <r>
    <x v="144"/>
    <x v="111"/>
    <x v="3"/>
    <s v="Nimali Silva"/>
    <x v="7"/>
    <x v="1"/>
    <x v="7"/>
    <n v="2"/>
    <n v="1891.78"/>
    <n v="3783.56"/>
    <n v="3783.56"/>
    <n v="388.81"/>
    <x v="3"/>
  </r>
  <r>
    <x v="145"/>
    <x v="2"/>
    <x v="2"/>
    <s v="Dilan Jayasinghe"/>
    <x v="7"/>
    <x v="2"/>
    <x v="6"/>
    <n v="2"/>
    <n v="11748.63"/>
    <n v="23497.26"/>
    <n v="23497.26"/>
    <n v="4696.28"/>
    <x v="1"/>
  </r>
  <r>
    <x v="146"/>
    <x v="112"/>
    <x v="0"/>
    <s v="Piumi Silva"/>
    <x v="8"/>
    <x v="3"/>
    <x v="14"/>
    <n v="3"/>
    <n v="8207.81"/>
    <n v="24623.43"/>
    <n v="24623.43"/>
    <n v="2007.94"/>
    <x v="1"/>
  </r>
  <r>
    <x v="147"/>
    <x v="113"/>
    <x v="3"/>
    <s v="Nimali Silva"/>
    <x v="1"/>
    <x v="1"/>
    <x v="2"/>
    <n v="5"/>
    <n v="910.57"/>
    <n v="4552.8500000000004"/>
    <n v="4552.8500000000004"/>
    <n v="972.53"/>
    <x v="0"/>
  </r>
  <r>
    <x v="148"/>
    <x v="114"/>
    <x v="7"/>
    <s v="Piumi Silva"/>
    <x v="1"/>
    <x v="1"/>
    <x v="1"/>
    <n v="4"/>
    <n v="1301.08"/>
    <n v="5204.32"/>
    <n v="5204.32"/>
    <n v="1313.68"/>
    <x v="3"/>
  </r>
  <r>
    <x v="149"/>
    <x v="115"/>
    <x v="0"/>
    <s v="Chamod Senanayake"/>
    <x v="4"/>
    <x v="2"/>
    <x v="6"/>
    <n v="4"/>
    <n v="10850.06"/>
    <n v="43400.24"/>
    <n v="43400.24"/>
    <n v="6291.0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4" firstHeaderRow="0" firstDataRow="1" firstDataCol="0"/>
  <pivotFields count="13">
    <pivotField dataField="1" showAll="0"/>
    <pivotField numFmtId="165" showAll="0"/>
    <pivotField showAll="0" defaultSubtotal="0">
      <items count="9">
        <item x="2"/>
        <item x="4"/>
        <item x="5"/>
        <item x="3"/>
        <item x="7"/>
        <item x="1"/>
        <item x="0"/>
        <item x="6"/>
        <item f="1" x="8"/>
      </items>
    </pivotField>
    <pivotField showAll="0"/>
    <pivotField showAll="0">
      <items count="44">
        <item x="2"/>
        <item x="7"/>
        <item x="1"/>
        <item x="3"/>
        <item x="6"/>
        <item x="0"/>
        <item x="8"/>
        <item x="4"/>
        <item x="5"/>
        <item f="1" x="31"/>
        <item f="1" x="24"/>
        <item f="1" x="17"/>
        <item f="1" x="10"/>
        <item f="1" x="38"/>
        <item f="1" x="32"/>
        <item f="1" x="25"/>
        <item f="1" x="18"/>
        <item f="1" x="11"/>
        <item f="1" x="36"/>
        <item f="1" x="27"/>
        <item f="1" x="15"/>
        <item f="1" x="39"/>
        <item f="1" x="28"/>
        <item f="1" x="16"/>
        <item f="1" x="40"/>
        <item f="1" x="30"/>
        <item f="1" x="20"/>
        <item f="1" x="42"/>
        <item f="1" x="29"/>
        <item f="1" x="19"/>
        <item f="1" x="41"/>
        <item f="1" x="33"/>
        <item f="1" x="21"/>
        <item f="1" x="9"/>
        <item f="1" x="34"/>
        <item f="1" x="23"/>
        <item f="1" x="13"/>
        <item f="1" x="37"/>
        <item f="1" x="22"/>
        <item f="1" x="12"/>
        <item f="1" x="35"/>
        <item f="1" x="26"/>
        <item f="1" x="14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 ID" fld="0" subtotal="count" baseField="0" baseItem="0"/>
    <dataField name="Sum of Sales" fld="9" baseField="0" baseItem="0"/>
    <dataField name="Sum of Profit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0" firstHeaderRow="1" firstDataRow="1" firstDataCol="1"/>
  <pivotFields count="13">
    <pivotField showAll="0"/>
    <pivotField numFmtId="165" showAll="0"/>
    <pivotField showAll="0" defaultSubtotal="0">
      <items count="9">
        <item x="2"/>
        <item x="4"/>
        <item x="5"/>
        <item x="3"/>
        <item x="7"/>
        <item x="1"/>
        <item x="0"/>
        <item x="6"/>
        <item f="1" x="8"/>
      </items>
    </pivotField>
    <pivotField showAll="0"/>
    <pivotField showAll="0">
      <items count="44">
        <item x="2"/>
        <item x="7"/>
        <item x="1"/>
        <item x="3"/>
        <item x="6"/>
        <item x="0"/>
        <item x="8"/>
        <item x="4"/>
        <item x="5"/>
        <item f="1" x="31"/>
        <item f="1" x="24"/>
        <item f="1" x="17"/>
        <item f="1" x="10"/>
        <item f="1" x="38"/>
        <item f="1" x="32"/>
        <item f="1" x="25"/>
        <item f="1" x="18"/>
        <item f="1" x="11"/>
        <item f="1" x="36"/>
        <item f="1" x="27"/>
        <item f="1" x="15"/>
        <item f="1" x="39"/>
        <item f="1" x="28"/>
        <item f="1" x="16"/>
        <item f="1" x="40"/>
        <item f="1" x="30"/>
        <item f="1" x="20"/>
        <item f="1" x="42"/>
        <item f="1" x="29"/>
        <item f="1" x="19"/>
        <item f="1" x="41"/>
        <item f="1" x="33"/>
        <item f="1" x="21"/>
        <item f="1" x="9"/>
        <item f="1" x="34"/>
        <item f="1" x="23"/>
        <item f="1" x="13"/>
        <item f="1" x="37"/>
        <item f="1" x="22"/>
        <item f="1" x="12"/>
        <item f="1" x="35"/>
        <item f="1" x="26"/>
        <item f="1" x="14"/>
        <item t="default"/>
      </items>
    </pivotField>
    <pivotField showAll="0"/>
    <pivotField axis="axisRow" showAll="0" sortType="descending">
      <items count="17">
        <item x="15"/>
        <item x="9"/>
        <item x="8"/>
        <item x="10"/>
        <item x="6"/>
        <item x="0"/>
        <item x="5"/>
        <item x="3"/>
        <item x="1"/>
        <item x="12"/>
        <item x="2"/>
        <item x="7"/>
        <item x="13"/>
        <item x="14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7">
    <i>
      <x v="5"/>
    </i>
    <i>
      <x v="12"/>
    </i>
    <i>
      <x v="1"/>
    </i>
    <i>
      <x v="6"/>
    </i>
    <i>
      <x v="9"/>
    </i>
    <i>
      <x v="15"/>
    </i>
    <i>
      <x/>
    </i>
    <i>
      <x v="4"/>
    </i>
    <i>
      <x v="3"/>
    </i>
    <i>
      <x v="7"/>
    </i>
    <i>
      <x v="13"/>
    </i>
    <i>
      <x v="11"/>
    </i>
    <i>
      <x v="8"/>
    </i>
    <i>
      <x v="10"/>
    </i>
    <i>
      <x v="2"/>
    </i>
    <i>
      <x v="14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13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umFmtId="165" showAll="0"/>
    <pivotField showAll="0" defaultSubtotal="0">
      <items count="9">
        <item x="2"/>
        <item x="4"/>
        <item x="5"/>
        <item x="3"/>
        <item x="7"/>
        <item x="1"/>
        <item x="0"/>
        <item x="6"/>
        <item f="1" x="8"/>
      </items>
    </pivotField>
    <pivotField showAll="0"/>
    <pivotField showAll="0">
      <items count="44">
        <item x="2"/>
        <item x="7"/>
        <item x="1"/>
        <item x="3"/>
        <item x="6"/>
        <item x="0"/>
        <item x="8"/>
        <item x="4"/>
        <item x="5"/>
        <item f="1" x="31"/>
        <item f="1" x="24"/>
        <item f="1" x="17"/>
        <item f="1" x="10"/>
        <item f="1" x="38"/>
        <item f="1" x="32"/>
        <item f="1" x="25"/>
        <item f="1" x="18"/>
        <item f="1" x="11"/>
        <item f="1" x="36"/>
        <item f="1" x="27"/>
        <item f="1" x="15"/>
        <item f="1" x="39"/>
        <item f="1" x="28"/>
        <item f="1" x="16"/>
        <item f="1" x="40"/>
        <item f="1" x="30"/>
        <item f="1" x="20"/>
        <item f="1" x="42"/>
        <item f="1" x="29"/>
        <item f="1" x="19"/>
        <item f="1" x="41"/>
        <item f="1" x="33"/>
        <item f="1" x="21"/>
        <item f="1" x="9"/>
        <item f="1" x="34"/>
        <item f="1" x="23"/>
        <item f="1" x="13"/>
        <item f="1" x="37"/>
        <item f="1" x="22"/>
        <item f="1" x="12"/>
        <item f="1" x="35"/>
        <item f="1" x="26"/>
        <item f="1" x="14"/>
        <item t="default"/>
      </items>
    </pivotField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3" firstHeaderRow="1" firstDataRow="1" firstDataCol="1"/>
  <pivotFields count="13">
    <pivotField showAll="0"/>
    <pivotField numFmtId="165" showAll="0"/>
    <pivotField showAll="0" defaultSubtotal="0">
      <items count="9">
        <item x="2"/>
        <item x="4"/>
        <item x="5"/>
        <item x="3"/>
        <item x="7"/>
        <item x="1"/>
        <item x="0"/>
        <item x="6"/>
        <item f="1" x="8"/>
      </items>
    </pivotField>
    <pivotField showAll="0"/>
    <pivotField axis="axisRow" showAll="0" sortType="descending">
      <items count="44">
        <item x="2"/>
        <item x="7"/>
        <item h="1" f="1" x="31"/>
        <item h="1" f="1" x="36"/>
        <item h="1" f="1" x="27"/>
        <item h="1" f="1" x="15"/>
        <item h="1" f="1" x="39"/>
        <item h="1" f="1" x="28"/>
        <item h="1" f="1" x="16"/>
        <item h="1" f="1" x="40"/>
        <item h="1" f="1" x="30"/>
        <item h="1" f="1" x="20"/>
        <item h="1" f="1" x="42"/>
        <item h="1" f="1" x="24"/>
        <item h="1" f="1" x="29"/>
        <item h="1" f="1" x="19"/>
        <item h="1" f="1" x="41"/>
        <item h="1" f="1" x="33"/>
        <item h="1" f="1" x="21"/>
        <item h="1" f="1" x="9"/>
        <item h="1" f="1" x="34"/>
        <item h="1" f="1" x="23"/>
        <item h="1" f="1" x="13"/>
        <item h="1" f="1" x="37"/>
        <item h="1" f="1" x="17"/>
        <item h="1" f="1" x="22"/>
        <item h="1" f="1" x="12"/>
        <item h="1" f="1" x="35"/>
        <item h="1" f="1" x="26"/>
        <item h="1" f="1" x="10"/>
        <item h="1" f="1" x="38"/>
        <item h="1" f="1" x="32"/>
        <item h="1" f="1" x="25"/>
        <item h="1" f="1" x="18"/>
        <item h="1" f="1" x="11"/>
        <item x="1"/>
        <item x="3"/>
        <item x="6"/>
        <item x="0"/>
        <item x="8"/>
        <item x="4"/>
        <item x="5"/>
        <item h="1" f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10">
    <i>
      <x/>
    </i>
    <i>
      <x v="41"/>
    </i>
    <i>
      <x v="37"/>
    </i>
    <i>
      <x v="38"/>
    </i>
    <i>
      <x v="35"/>
    </i>
    <i>
      <x v="40"/>
    </i>
    <i>
      <x v="1"/>
    </i>
    <i>
      <x v="39"/>
    </i>
    <i>
      <x v="36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13">
    <pivotField showAll="0"/>
    <pivotField numFmtId="165" showAll="0"/>
    <pivotField showAll="0" defaultSubtotal="0">
      <items count="9">
        <item x="2"/>
        <item x="4"/>
        <item x="5"/>
        <item x="3"/>
        <item x="7"/>
        <item x="1"/>
        <item x="0"/>
        <item x="6"/>
        <item f="1" x="8"/>
      </items>
    </pivotField>
    <pivotField showAll="0"/>
    <pivotField showAll="0">
      <items count="44">
        <item x="2"/>
        <item x="7"/>
        <item f="1" x="31"/>
        <item f="1" x="36"/>
        <item f="1" x="27"/>
        <item f="1" x="15"/>
        <item f="1" x="39"/>
        <item f="1" x="28"/>
        <item f="1" x="16"/>
        <item f="1" x="40"/>
        <item f="1" x="30"/>
        <item f="1" x="20"/>
        <item f="1" x="42"/>
        <item f="1" x="24"/>
        <item f="1" x="29"/>
        <item f="1" x="19"/>
        <item f="1" x="41"/>
        <item f="1" x="33"/>
        <item f="1" x="21"/>
        <item f="1" x="9"/>
        <item f="1" x="34"/>
        <item f="1" x="23"/>
        <item f="1" x="13"/>
        <item f="1" x="37"/>
        <item f="1" x="17"/>
        <item f="1" x="22"/>
        <item f="1" x="12"/>
        <item f="1" x="35"/>
        <item f="1" x="26"/>
        <item f="1" x="14"/>
        <item f="1" x="10"/>
        <item f="1" x="38"/>
        <item f="1" x="32"/>
        <item f="1" x="25"/>
        <item f="1" x="18"/>
        <item f="1" x="11"/>
        <item x="1"/>
        <item x="3"/>
        <item x="6"/>
        <item x="0"/>
        <item x="8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20" firstHeaderRow="1" firstDataRow="1" firstDataCol="1"/>
  <pivotFields count="13">
    <pivotField showAll="0"/>
    <pivotField axis="axisRow" numFmtId="165" showAll="0">
      <items count="117">
        <item x="2"/>
        <item x="81"/>
        <item x="43"/>
        <item x="76"/>
        <item x="100"/>
        <item x="60"/>
        <item x="8"/>
        <item x="58"/>
        <item x="3"/>
        <item x="22"/>
        <item x="92"/>
        <item x="53"/>
        <item x="36"/>
        <item x="24"/>
        <item x="78"/>
        <item x="37"/>
        <item x="61"/>
        <item x="6"/>
        <item x="62"/>
        <item x="75"/>
        <item x="47"/>
        <item x="50"/>
        <item x="48"/>
        <item x="18"/>
        <item x="41"/>
        <item x="7"/>
        <item x="19"/>
        <item x="83"/>
        <item x="94"/>
        <item x="30"/>
        <item x="67"/>
        <item x="55"/>
        <item x="101"/>
        <item x="95"/>
        <item x="74"/>
        <item x="31"/>
        <item x="80"/>
        <item x="59"/>
        <item x="42"/>
        <item x="40"/>
        <item x="57"/>
        <item x="65"/>
        <item x="32"/>
        <item x="113"/>
        <item x="93"/>
        <item x="96"/>
        <item x="15"/>
        <item x="4"/>
        <item x="12"/>
        <item x="56"/>
        <item x="98"/>
        <item x="106"/>
        <item x="29"/>
        <item x="39"/>
        <item x="51"/>
        <item x="104"/>
        <item x="54"/>
        <item x="111"/>
        <item x="110"/>
        <item x="27"/>
        <item x="21"/>
        <item x="11"/>
        <item x="105"/>
        <item x="35"/>
        <item x="45"/>
        <item x="91"/>
        <item x="28"/>
        <item x="72"/>
        <item x="70"/>
        <item x="25"/>
        <item x="34"/>
        <item x="69"/>
        <item x="10"/>
        <item x="103"/>
        <item x="114"/>
        <item x="71"/>
        <item x="87"/>
        <item x="1"/>
        <item x="33"/>
        <item x="84"/>
        <item x="20"/>
        <item x="82"/>
        <item x="23"/>
        <item x="90"/>
        <item x="108"/>
        <item x="46"/>
        <item x="68"/>
        <item x="99"/>
        <item x="63"/>
        <item x="64"/>
        <item x="79"/>
        <item x="86"/>
        <item x="66"/>
        <item x="14"/>
        <item x="0"/>
        <item x="112"/>
        <item x="73"/>
        <item x="17"/>
        <item x="13"/>
        <item x="5"/>
        <item x="44"/>
        <item x="77"/>
        <item x="38"/>
        <item x="115"/>
        <item x="109"/>
        <item x="107"/>
        <item x="88"/>
        <item x="16"/>
        <item x="102"/>
        <item x="89"/>
        <item x="26"/>
        <item x="97"/>
        <item x="9"/>
        <item x="85"/>
        <item x="52"/>
        <item x="49"/>
        <item t="default"/>
      </items>
    </pivotField>
    <pivotField showAll="0" defaultSubtotal="0">
      <items count="9">
        <item x="2"/>
        <item x="4"/>
        <item x="5"/>
        <item x="3"/>
        <item x="7"/>
        <item x="1"/>
        <item x="0"/>
        <item x="6"/>
        <item f="1" x="8"/>
      </items>
    </pivotField>
    <pivotField showAll="0"/>
    <pivotField showAll="0">
      <items count="44">
        <item x="2"/>
        <item x="7"/>
        <item f="1" x="31"/>
        <item f="1" x="36"/>
        <item f="1" x="27"/>
        <item f="1" x="15"/>
        <item f="1" x="39"/>
        <item f="1" x="28"/>
        <item f="1" x="16"/>
        <item f="1" x="40"/>
        <item f="1" x="30"/>
        <item f="1" x="20"/>
        <item f="1" x="42"/>
        <item f="1" x="24"/>
        <item f="1" x="29"/>
        <item f="1" x="19"/>
        <item f="1" x="41"/>
        <item f="1" x="33"/>
        <item f="1" x="21"/>
        <item f="1" x="9"/>
        <item f="1" x="34"/>
        <item f="1" x="23"/>
        <item f="1" x="13"/>
        <item f="1" x="37"/>
        <item f="1" x="17"/>
        <item f="1" x="22"/>
        <item f="1" x="12"/>
        <item f="1" x="35"/>
        <item f="1" x="26"/>
        <item f="1" x="14"/>
        <item f="1" x="10"/>
        <item f="1" x="38"/>
        <item f="1" x="32"/>
        <item f="1" x="25"/>
        <item f="1" x="18"/>
        <item f="1" x="11"/>
        <item x="1"/>
        <item x="3"/>
        <item x="6"/>
        <item x="0"/>
        <item x="8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20" firstHeaderRow="1" firstDataRow="1" firstDataCol="0"/>
  <pivotFields count="13">
    <pivotField showAll="0"/>
    <pivotField numFmtId="165" showAll="0"/>
    <pivotField showAll="0" defaultSubtotal="0">
      <items count="9">
        <item x="2"/>
        <item x="4"/>
        <item x="5"/>
        <item x="3"/>
        <item x="7"/>
        <item x="1"/>
        <item x="0"/>
        <item x="6"/>
        <item f="1" x="8"/>
      </items>
    </pivotField>
    <pivotField showAll="0"/>
    <pivotField showAll="0">
      <items count="44">
        <item x="2"/>
        <item x="7"/>
        <item f="1" x="31"/>
        <item f="1" x="36"/>
        <item f="1" x="27"/>
        <item f="1" x="15"/>
        <item f="1" x="39"/>
        <item f="1" x="28"/>
        <item f="1" x="16"/>
        <item f="1" x="40"/>
        <item f="1" x="30"/>
        <item f="1" x="20"/>
        <item f="1" x="42"/>
        <item f="1" x="24"/>
        <item f="1" x="29"/>
        <item f="1" x="19"/>
        <item f="1" x="41"/>
        <item f="1" x="33"/>
        <item f="1" x="21"/>
        <item f="1" x="9"/>
        <item f="1" x="34"/>
        <item f="1" x="23"/>
        <item f="1" x="13"/>
        <item f="1" x="37"/>
        <item f="1" x="17"/>
        <item f="1" x="22"/>
        <item f="1" x="12"/>
        <item f="1" x="35"/>
        <item f="1" x="26"/>
        <item f="1" x="14"/>
        <item f="1" x="10"/>
        <item f="1" x="38"/>
        <item f="1" x="32"/>
        <item f="1" x="25"/>
        <item f="1" x="18"/>
        <item f="1" x="11"/>
        <item x="1"/>
        <item x="3"/>
        <item x="6"/>
        <item x="0"/>
        <item x="8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20" firstHeaderRow="1" firstDataRow="1" firstDataCol="0"/>
  <pivotFields count="13">
    <pivotField showAll="0"/>
    <pivotField numFmtId="165" showAll="0"/>
    <pivotField showAll="0" defaultSubtotal="0">
      <items count="9">
        <item x="2"/>
        <item x="4"/>
        <item x="5"/>
        <item x="3"/>
        <item x="7"/>
        <item x="1"/>
        <item x="0"/>
        <item x="6"/>
        <item f="1" x="8"/>
      </items>
    </pivotField>
    <pivotField showAll="0"/>
    <pivotField showAll="0">
      <items count="44">
        <item x="2"/>
        <item x="7"/>
        <item f="1" x="31"/>
        <item f="1" x="36"/>
        <item f="1" x="27"/>
        <item f="1" x="15"/>
        <item f="1" x="39"/>
        <item f="1" x="28"/>
        <item f="1" x="16"/>
        <item f="1" x="40"/>
        <item f="1" x="30"/>
        <item f="1" x="20"/>
        <item f="1" x="42"/>
        <item f="1" x="24"/>
        <item f="1" x="29"/>
        <item f="1" x="19"/>
        <item f="1" x="41"/>
        <item f="1" x="33"/>
        <item f="1" x="21"/>
        <item f="1" x="9"/>
        <item f="1" x="34"/>
        <item f="1" x="23"/>
        <item f="1" x="13"/>
        <item f="1" x="37"/>
        <item f="1" x="17"/>
        <item f="1" x="22"/>
        <item f="1" x="12"/>
        <item f="1" x="35"/>
        <item f="1" x="26"/>
        <item f="1" x="14"/>
        <item f="1" x="10"/>
        <item f="1" x="38"/>
        <item f="1" x="32"/>
        <item f="1" x="25"/>
        <item f="1" x="18"/>
        <item f="1" x="11"/>
        <item x="1"/>
        <item x="3"/>
        <item x="6"/>
        <item x="0"/>
        <item x="8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2" cacheId="5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2" firstHeaderRow="1" firstDataRow="1" firstDataCol="1"/>
  <pivotFields count="2">
    <pivotField dataField="1" showAll="0"/>
    <pivotField axis="axisRow" allDrilled="1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 Pric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set.xlsx!Table1">
        <x15:activeTabTopLevelEntity name="[Table1]"/>
      </x15:pivotTableUISettings>
    </ext>
  </extLst>
</pivotTableDefinition>
</file>

<file path=xl/pivotTables/pivotTable10.xml><?xml version="1.0" encoding="utf-8"?>
<pivotTableDefinition xmlns="http://schemas.openxmlformats.org/spreadsheetml/2006/main" name="PivotTable11" cacheId="6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56" firstHeaderRow="1" firstDataRow="1" firstDataCol="1"/>
  <pivotFields count="13">
    <pivotField showAll="0"/>
    <pivotField axis="axisRow" numFmtId="165" showAll="0">
      <items count="117">
        <item x="2"/>
        <item x="81"/>
        <item x="43"/>
        <item x="76"/>
        <item x="100"/>
        <item x="60"/>
        <item x="8"/>
        <item x="58"/>
        <item x="3"/>
        <item x="22"/>
        <item x="92"/>
        <item x="53"/>
        <item x="36"/>
        <item x="24"/>
        <item x="78"/>
        <item x="37"/>
        <item x="61"/>
        <item x="6"/>
        <item x="62"/>
        <item x="75"/>
        <item x="47"/>
        <item x="50"/>
        <item x="48"/>
        <item x="18"/>
        <item x="41"/>
        <item x="7"/>
        <item x="19"/>
        <item x="83"/>
        <item x="94"/>
        <item x="30"/>
        <item x="67"/>
        <item x="55"/>
        <item x="101"/>
        <item x="95"/>
        <item x="74"/>
        <item x="31"/>
        <item sd="0" x="80"/>
        <item sd="0" x="59"/>
        <item sd="0" x="42"/>
        <item sd="0" x="40"/>
        <item sd="0" x="57"/>
        <item sd="0" x="65"/>
        <item sd="0" x="32"/>
        <item sd="0" x="113"/>
        <item sd="0" x="93"/>
        <item sd="0" x="96"/>
        <item sd="0" x="15"/>
        <item sd="0" x="4"/>
        <item sd="0" x="12"/>
        <item sd="0" x="56"/>
        <item sd="0" x="98"/>
        <item sd="0" x="106"/>
        <item sd="0" x="29"/>
        <item sd="0" x="39"/>
        <item sd="0" x="51"/>
        <item sd="0" x="104"/>
        <item sd="0" x="54"/>
        <item sd="0" x="111"/>
        <item sd="0" x="110"/>
        <item sd="0" x="27"/>
        <item sd="0" x="21"/>
        <item sd="0" x="11"/>
        <item sd="0" x="105"/>
        <item sd="0" x="35"/>
        <item sd="0" x="45"/>
        <item sd="0" x="91"/>
        <item sd="0" x="28"/>
        <item sd="0" x="72"/>
        <item sd="0" x="70"/>
        <item sd="0" x="25"/>
        <item sd="0" x="34"/>
        <item sd="0" x="69"/>
        <item sd="0" x="10"/>
        <item sd="0" x="103"/>
        <item sd="0" x="114"/>
        <item sd="0" x="71"/>
        <item sd="0" x="87"/>
        <item sd="0" x="1"/>
        <item sd="0" x="33"/>
        <item sd="0" x="84"/>
        <item sd="0" x="20"/>
        <item sd="0" x="82"/>
        <item sd="0" x="23"/>
        <item sd="0" x="90"/>
        <item sd="0" x="108"/>
        <item sd="0" x="46"/>
        <item sd="0" x="68"/>
        <item sd="0" x="99"/>
        <item sd="0" x="63"/>
        <item sd="0" x="64"/>
        <item sd="0" x="79"/>
        <item sd="0" x="86"/>
        <item sd="0" x="66"/>
        <item sd="0" x="14"/>
        <item sd="0" x="0"/>
        <item sd="0" x="112"/>
        <item sd="0" x="73"/>
        <item sd="0" x="17"/>
        <item sd="0" x="13"/>
        <item sd="0" x="5"/>
        <item sd="0" x="44"/>
        <item sd="0" x="77"/>
        <item sd="0" x="38"/>
        <item sd="0" x="115"/>
        <item sd="0" x="109"/>
        <item sd="0" x="107"/>
        <item sd="0" x="88"/>
        <item sd="0" x="16"/>
        <item sd="0" x="102"/>
        <item sd="0" x="89"/>
        <item sd="0" x="26"/>
        <item sd="0" x="97"/>
        <item sd="0" x="9"/>
        <item sd="0" x="85"/>
        <item sd="0" x="52"/>
        <item sd="0" x="49"/>
        <item t="default" sd="0"/>
      </items>
    </pivotField>
    <pivotField axis="axisRow" showAll="0" defaultSubtotal="0">
      <items count="9">
        <item h="1" f="1" x="8"/>
        <item x="2"/>
        <item x="4"/>
        <item x="5"/>
        <item x="3"/>
        <item x="7"/>
        <item x="1"/>
        <item x="0"/>
        <item x="6"/>
      </items>
    </pivotField>
    <pivotField showAll="0"/>
    <pivotField showAll="0">
      <items count="44">
        <item x="2"/>
        <item x="7"/>
        <item f="1" x="31"/>
        <item f="1" x="36"/>
        <item f="1" x="27"/>
        <item f="1" x="15"/>
        <item f="1" x="39"/>
        <item f="1" x="28"/>
        <item f="1" x="16"/>
        <item f="1" x="40"/>
        <item f="1" x="30"/>
        <item f="1" x="20"/>
        <item f="1" x="42"/>
        <item f="1" x="24"/>
        <item f="1" x="29"/>
        <item f="1" x="19"/>
        <item f="1" x="41"/>
        <item f="1" x="33"/>
        <item f="1" x="21"/>
        <item f="1" x="9"/>
        <item f="1" x="34"/>
        <item f="1" x="23"/>
        <item f="1" x="13"/>
        <item f="1" x="37"/>
        <item f="1" x="17"/>
        <item f="1" x="22"/>
        <item f="1" x="12"/>
        <item f="1" x="35"/>
        <item f="1" x="26"/>
        <item f="1" x="14"/>
        <item f="1" x="10"/>
        <item f="1" x="38"/>
        <item f="1" x="32"/>
        <item f="1" x="25"/>
        <item f="1" x="18"/>
        <item f="1" x="11"/>
        <item x="1"/>
        <item x="3"/>
        <item x="6"/>
        <item x="0"/>
        <item x="8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2"/>
  </rowFields>
  <rowItems count="153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2"/>
    </i>
    <i>
      <x v="12"/>
    </i>
    <i r="1">
      <x v="2"/>
    </i>
    <i>
      <x v="13"/>
    </i>
    <i r="1">
      <x v="2"/>
    </i>
    <i>
      <x v="14"/>
    </i>
    <i r="1">
      <x v="2"/>
    </i>
    <i>
      <x v="15"/>
    </i>
    <i r="1">
      <x v="2"/>
    </i>
    <i>
      <x v="16"/>
    </i>
    <i r="1">
      <x v="2"/>
    </i>
    <i>
      <x v="17"/>
    </i>
    <i r="1">
      <x v="2"/>
    </i>
    <i>
      <x v="18"/>
    </i>
    <i r="1">
      <x v="2"/>
    </i>
    <i>
      <x v="19"/>
    </i>
    <i r="1">
      <x v="2"/>
    </i>
    <i>
      <x v="20"/>
    </i>
    <i r="1">
      <x v="2"/>
    </i>
    <i>
      <x v="21"/>
    </i>
    <i r="1">
      <x v="2"/>
    </i>
    <i>
      <x v="22"/>
    </i>
    <i r="1">
      <x v="2"/>
    </i>
    <i>
      <x v="23"/>
    </i>
    <i r="1">
      <x v="2"/>
    </i>
    <i>
      <x v="24"/>
    </i>
    <i r="1">
      <x v="2"/>
    </i>
    <i>
      <x v="25"/>
    </i>
    <i r="1">
      <x v="3"/>
    </i>
    <i>
      <x v="26"/>
    </i>
    <i r="1">
      <x v="3"/>
    </i>
    <i>
      <x v="27"/>
    </i>
    <i r="1">
      <x v="3"/>
    </i>
    <i>
      <x v="28"/>
    </i>
    <i r="1">
      <x v="3"/>
    </i>
    <i>
      <x v="29"/>
    </i>
    <i r="1">
      <x v="3"/>
    </i>
    <i>
      <x v="30"/>
    </i>
    <i r="1">
      <x v="3"/>
    </i>
    <i>
      <x v="31"/>
    </i>
    <i r="1">
      <x v="3"/>
    </i>
    <i>
      <x v="32"/>
    </i>
    <i r="1">
      <x v="3"/>
    </i>
    <i>
      <x v="33"/>
    </i>
    <i r="1">
      <x v="3"/>
    </i>
    <i>
      <x v="34"/>
    </i>
    <i r="1">
      <x v="3"/>
    </i>
    <i>
      <x v="35"/>
    </i>
    <i r="1">
      <x v="3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1:L17" totalsRowShown="0">
  <autoFilter ref="A1:L17"/>
  <tableColumns count="12">
    <tableColumn id="1" name="Order ID"/>
    <tableColumn id="2" name="Order Date" dataDxfId="1"/>
    <tableColumn id="3" name="Customer Name"/>
    <tableColumn id="4" name="Region"/>
    <tableColumn id="5" name="Category"/>
    <tableColumn id="6" name="Product"/>
    <tableColumn id="7" name="Quantity"/>
    <tableColumn id="8" name="Unit Price"/>
    <tableColumn id="9" name="Sales"/>
    <tableColumn id="10" name="Sales Check"/>
    <tableColumn id="11" name="Profit"/>
    <tableColumn id="12" name="Payment Metho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M151" totalsRowShown="0" headerRowDxfId="3" headerRowBorderDxfId="5" tableBorderDxfId="6">
  <tableColumns count="13">
    <tableColumn id="1" name="Order ID"/>
    <tableColumn id="2" name="Order Date" dataDxfId="4"/>
    <tableColumn id="13" name="Months" dataDxfId="0">
      <calculatedColumnFormula>TEXT(B2,"mmmm")</calculatedColumnFormula>
    </tableColumn>
    <tableColumn id="3" name="Customer Name"/>
    <tableColumn id="4" name="Region"/>
    <tableColumn id="5" name="Category"/>
    <tableColumn id="6" name="Product"/>
    <tableColumn id="7" name="Quantity"/>
    <tableColumn id="8" name="Unit Price"/>
    <tableColumn id="9" name="Sales"/>
    <tableColumn id="12" name="Sales Check" dataDxfId="2">
      <calculatedColumnFormula>H2*I2</calculatedColumnFormula>
    </tableColumn>
    <tableColumn id="10" name="Profit"/>
    <tableColumn id="11" name="Payment Method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"/>
  <sheetViews>
    <sheetView workbookViewId="0">
      <selection activeCell="D3" sqref="D3"/>
    </sheetView>
  </sheetViews>
  <sheetFormatPr defaultRowHeight="15" x14ac:dyDescent="0.25"/>
  <cols>
    <col min="1" max="1" width="16.5703125" bestFit="1" customWidth="1"/>
    <col min="2" max="2" width="12.140625" customWidth="1"/>
    <col min="3" max="3" width="12.5703125" bestFit="1" customWidth="1"/>
    <col min="4" max="4" width="19.28515625" customWidth="1"/>
  </cols>
  <sheetData>
    <row r="3" spans="1:4" x14ac:dyDescent="0.25">
      <c r="A3" t="s">
        <v>207</v>
      </c>
      <c r="B3" t="s">
        <v>205</v>
      </c>
      <c r="C3" t="s">
        <v>206</v>
      </c>
      <c r="D3" s="18" t="s">
        <v>208</v>
      </c>
    </row>
    <row r="4" spans="1:4" x14ac:dyDescent="0.25">
      <c r="A4" s="17">
        <v>150</v>
      </c>
      <c r="B4" s="17">
        <v>17488334.749999996</v>
      </c>
      <c r="C4" s="17">
        <v>2994964.2300000014</v>
      </c>
      <c r="D4">
        <f>17488334.75/150</f>
        <v>116588.89833333333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B22" sqref="B22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19" t="s">
        <v>209</v>
      </c>
      <c r="B3" t="s">
        <v>205</v>
      </c>
    </row>
    <row r="4" spans="1:2" x14ac:dyDescent="0.25">
      <c r="A4" s="20" t="s">
        <v>15</v>
      </c>
      <c r="B4" s="17">
        <v>6002971.2000000002</v>
      </c>
    </row>
    <row r="5" spans="1:2" x14ac:dyDescent="0.25">
      <c r="A5" s="20" t="s">
        <v>71</v>
      </c>
      <c r="B5" s="17">
        <v>4117179.9699999997</v>
      </c>
    </row>
    <row r="6" spans="1:2" x14ac:dyDescent="0.25">
      <c r="A6" s="20" t="s">
        <v>58</v>
      </c>
      <c r="B6" s="17">
        <v>1967290.3100000003</v>
      </c>
    </row>
    <row r="7" spans="1:2" x14ac:dyDescent="0.25">
      <c r="A7" s="20" t="s">
        <v>39</v>
      </c>
      <c r="B7" s="17">
        <v>1603154.65</v>
      </c>
    </row>
    <row r="8" spans="1:2" x14ac:dyDescent="0.25">
      <c r="A8" s="20" t="s">
        <v>67</v>
      </c>
      <c r="B8" s="17">
        <v>1262873.2999999998</v>
      </c>
    </row>
    <row r="9" spans="1:2" x14ac:dyDescent="0.25">
      <c r="A9" s="20" t="s">
        <v>64</v>
      </c>
      <c r="B9" s="17">
        <v>862368.29</v>
      </c>
    </row>
    <row r="10" spans="1:2" x14ac:dyDescent="0.25">
      <c r="A10" s="20" t="s">
        <v>93</v>
      </c>
      <c r="B10" s="17">
        <v>428643.77</v>
      </c>
    </row>
    <row r="11" spans="1:2" x14ac:dyDescent="0.25">
      <c r="A11" s="20" t="s">
        <v>42</v>
      </c>
      <c r="B11" s="17">
        <v>416864.33</v>
      </c>
    </row>
    <row r="12" spans="1:2" x14ac:dyDescent="0.25">
      <c r="A12" s="20" t="s">
        <v>62</v>
      </c>
      <c r="B12" s="17">
        <v>243808.82</v>
      </c>
    </row>
    <row r="13" spans="1:2" x14ac:dyDescent="0.25">
      <c r="A13" s="20" t="s">
        <v>31</v>
      </c>
      <c r="B13" s="17">
        <v>210007.57</v>
      </c>
    </row>
    <row r="14" spans="1:2" x14ac:dyDescent="0.25">
      <c r="A14" s="20" t="s">
        <v>89</v>
      </c>
      <c r="B14" s="17">
        <v>178916.08999999997</v>
      </c>
    </row>
    <row r="15" spans="1:2" x14ac:dyDescent="0.25">
      <c r="A15" s="20" t="s">
        <v>49</v>
      </c>
      <c r="B15" s="17">
        <v>69151.38</v>
      </c>
    </row>
    <row r="16" spans="1:2" x14ac:dyDescent="0.25">
      <c r="A16" s="20" t="s">
        <v>20</v>
      </c>
      <c r="B16" s="17">
        <v>46512.05</v>
      </c>
    </row>
    <row r="17" spans="1:2" x14ac:dyDescent="0.25">
      <c r="A17" s="20" t="s">
        <v>25</v>
      </c>
      <c r="B17" s="17">
        <v>33950.080000000002</v>
      </c>
    </row>
    <row r="18" spans="1:2" x14ac:dyDescent="0.25">
      <c r="A18" s="20" t="s">
        <v>53</v>
      </c>
      <c r="B18" s="17">
        <v>27609.090000000004</v>
      </c>
    </row>
    <row r="19" spans="1:2" x14ac:dyDescent="0.25">
      <c r="A19" s="20" t="s">
        <v>33</v>
      </c>
      <c r="B19" s="17">
        <v>17033.849999999999</v>
      </c>
    </row>
    <row r="20" spans="1:2" x14ac:dyDescent="0.25">
      <c r="A20" s="20" t="s">
        <v>210</v>
      </c>
      <c r="B20" s="17">
        <v>17488334.75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C2" workbookViewId="0">
      <selection activeCell="E23" sqref="E23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19" t="s">
        <v>209</v>
      </c>
      <c r="B3" t="s">
        <v>205</v>
      </c>
    </row>
    <row r="4" spans="1:2" x14ac:dyDescent="0.25">
      <c r="A4" s="20" t="s">
        <v>14</v>
      </c>
      <c r="B4" s="17">
        <v>11967114.640000001</v>
      </c>
    </row>
    <row r="5" spans="1:2" x14ac:dyDescent="0.25">
      <c r="A5" s="20" t="s">
        <v>57</v>
      </c>
      <c r="B5" s="17">
        <v>3837723.47</v>
      </c>
    </row>
    <row r="6" spans="1:2" x14ac:dyDescent="0.25">
      <c r="A6" s="20" t="s">
        <v>30</v>
      </c>
      <c r="B6" s="17">
        <v>1506274.0400000005</v>
      </c>
    </row>
    <row r="7" spans="1:2" x14ac:dyDescent="0.25">
      <c r="A7" s="20" t="s">
        <v>19</v>
      </c>
      <c r="B7" s="17">
        <v>177222.59999999998</v>
      </c>
    </row>
    <row r="8" spans="1:2" x14ac:dyDescent="0.25">
      <c r="A8" s="20" t="s">
        <v>210</v>
      </c>
      <c r="B8" s="17">
        <v>17488334.750000004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workbookViewId="0">
      <selection sqref="A1:L17"/>
    </sheetView>
  </sheetViews>
  <sheetFormatPr defaultRowHeight="15" x14ac:dyDescent="0.25"/>
  <cols>
    <col min="1" max="1" width="10.5703125" customWidth="1"/>
    <col min="2" max="2" width="12.85546875" customWidth="1"/>
    <col min="3" max="3" width="17.42578125" customWidth="1"/>
    <col min="4" max="4" width="9.28515625" customWidth="1"/>
    <col min="5" max="5" width="11" customWidth="1"/>
    <col min="6" max="6" width="10" customWidth="1"/>
    <col min="7" max="7" width="10.85546875" customWidth="1"/>
    <col min="8" max="8" width="11.85546875" customWidth="1"/>
    <col min="10" max="10" width="13.42578125" customWidth="1"/>
    <col min="12" max="12" width="18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204</v>
      </c>
      <c r="K1" t="s">
        <v>9</v>
      </c>
      <c r="L1" t="s">
        <v>10</v>
      </c>
    </row>
    <row r="2" spans="1:12" x14ac:dyDescent="0.25">
      <c r="A2" t="s">
        <v>199</v>
      </c>
      <c r="B2" s="21">
        <v>46024</v>
      </c>
      <c r="C2" t="s">
        <v>45</v>
      </c>
      <c r="D2" t="s">
        <v>52</v>
      </c>
      <c r="E2" t="s">
        <v>30</v>
      </c>
      <c r="F2" t="s">
        <v>42</v>
      </c>
      <c r="G2">
        <v>2</v>
      </c>
      <c r="H2">
        <v>11748.63</v>
      </c>
      <c r="I2">
        <v>23497.26</v>
      </c>
      <c r="J2">
        <v>23497.26</v>
      </c>
      <c r="K2">
        <v>4696.28</v>
      </c>
      <c r="L2" t="s">
        <v>21</v>
      </c>
    </row>
    <row r="3" spans="1:12" x14ac:dyDescent="0.25">
      <c r="A3" t="s">
        <v>198</v>
      </c>
      <c r="B3" s="21">
        <v>46133</v>
      </c>
      <c r="C3" t="s">
        <v>12</v>
      </c>
      <c r="D3" t="s">
        <v>52</v>
      </c>
      <c r="E3" t="s">
        <v>19</v>
      </c>
      <c r="F3" t="s">
        <v>49</v>
      </c>
      <c r="G3">
        <v>2</v>
      </c>
      <c r="H3">
        <v>1891.78</v>
      </c>
      <c r="I3">
        <v>3783.56</v>
      </c>
      <c r="J3">
        <v>3783.56</v>
      </c>
      <c r="K3">
        <v>388.81</v>
      </c>
      <c r="L3" t="s">
        <v>43</v>
      </c>
    </row>
    <row r="4" spans="1:12" x14ac:dyDescent="0.25">
      <c r="A4" t="s">
        <v>181</v>
      </c>
      <c r="B4" s="21">
        <v>46175</v>
      </c>
      <c r="C4" t="s">
        <v>18</v>
      </c>
      <c r="D4" t="s">
        <v>52</v>
      </c>
      <c r="E4" t="s">
        <v>57</v>
      </c>
      <c r="F4" t="s">
        <v>58</v>
      </c>
      <c r="G4">
        <v>3</v>
      </c>
      <c r="H4">
        <v>68566.789999999994</v>
      </c>
      <c r="I4">
        <v>205700.37</v>
      </c>
      <c r="J4">
        <v>205700.37</v>
      </c>
      <c r="K4">
        <v>48900.89</v>
      </c>
      <c r="L4" t="s">
        <v>21</v>
      </c>
    </row>
    <row r="5" spans="1:12" x14ac:dyDescent="0.25">
      <c r="A5" t="s">
        <v>165</v>
      </c>
      <c r="B5" s="21">
        <v>46099</v>
      </c>
      <c r="C5" t="s">
        <v>28</v>
      </c>
      <c r="D5" t="s">
        <v>52</v>
      </c>
      <c r="E5" t="s">
        <v>57</v>
      </c>
      <c r="F5" t="s">
        <v>67</v>
      </c>
      <c r="G5">
        <v>4</v>
      </c>
      <c r="H5">
        <v>45739.98</v>
      </c>
      <c r="I5">
        <v>182959.92</v>
      </c>
      <c r="J5">
        <v>182959.92</v>
      </c>
      <c r="K5">
        <v>50776.93</v>
      </c>
      <c r="L5" t="s">
        <v>43</v>
      </c>
    </row>
    <row r="6" spans="1:12" x14ac:dyDescent="0.25">
      <c r="A6" t="s">
        <v>154</v>
      </c>
      <c r="B6" s="21">
        <v>46233</v>
      </c>
      <c r="C6" t="s">
        <v>18</v>
      </c>
      <c r="D6" t="s">
        <v>52</v>
      </c>
      <c r="E6" t="s">
        <v>30</v>
      </c>
      <c r="F6" t="s">
        <v>64</v>
      </c>
      <c r="G6">
        <v>3</v>
      </c>
      <c r="H6">
        <v>15215.9</v>
      </c>
      <c r="I6">
        <v>45647.7</v>
      </c>
      <c r="J6">
        <v>45647.7</v>
      </c>
      <c r="K6">
        <v>8287.23</v>
      </c>
      <c r="L6" t="s">
        <v>26</v>
      </c>
    </row>
    <row r="7" spans="1:12" x14ac:dyDescent="0.25">
      <c r="A7" t="s">
        <v>144</v>
      </c>
      <c r="B7" s="21">
        <v>46105</v>
      </c>
      <c r="C7" t="s">
        <v>56</v>
      </c>
      <c r="D7" t="s">
        <v>52</v>
      </c>
      <c r="E7" t="s">
        <v>19</v>
      </c>
      <c r="F7" t="s">
        <v>20</v>
      </c>
      <c r="G7">
        <v>5</v>
      </c>
      <c r="H7">
        <v>1089.57</v>
      </c>
      <c r="I7">
        <v>5447.85</v>
      </c>
      <c r="J7">
        <v>5447.8499999999995</v>
      </c>
      <c r="K7">
        <v>906.55</v>
      </c>
      <c r="L7" t="s">
        <v>16</v>
      </c>
    </row>
    <row r="8" spans="1:12" x14ac:dyDescent="0.25">
      <c r="A8" t="s">
        <v>143</v>
      </c>
      <c r="B8" s="21">
        <v>46202</v>
      </c>
      <c r="C8" t="s">
        <v>28</v>
      </c>
      <c r="D8" t="s">
        <v>52</v>
      </c>
      <c r="E8" t="s">
        <v>30</v>
      </c>
      <c r="F8" t="s">
        <v>33</v>
      </c>
      <c r="G8">
        <v>4</v>
      </c>
      <c r="H8">
        <v>2312.1799999999998</v>
      </c>
      <c r="I8">
        <v>9248.7199999999993</v>
      </c>
      <c r="J8">
        <v>9248.7199999999993</v>
      </c>
      <c r="K8">
        <v>2013.78</v>
      </c>
      <c r="L8" t="s">
        <v>43</v>
      </c>
    </row>
    <row r="9" spans="1:12" x14ac:dyDescent="0.25">
      <c r="A9" t="s">
        <v>140</v>
      </c>
      <c r="B9" s="21">
        <v>46031</v>
      </c>
      <c r="C9" t="s">
        <v>45</v>
      </c>
      <c r="D9" t="s">
        <v>52</v>
      </c>
      <c r="E9" t="s">
        <v>14</v>
      </c>
      <c r="F9" t="s">
        <v>39</v>
      </c>
      <c r="G9">
        <v>4</v>
      </c>
      <c r="H9">
        <v>57083.08</v>
      </c>
      <c r="I9">
        <v>228332.32</v>
      </c>
      <c r="J9">
        <v>228332.32</v>
      </c>
      <c r="K9">
        <v>39725.83</v>
      </c>
      <c r="L9" t="s">
        <v>26</v>
      </c>
    </row>
    <row r="10" spans="1:12" x14ac:dyDescent="0.25">
      <c r="A10" t="s">
        <v>133</v>
      </c>
      <c r="B10" s="21">
        <v>46159</v>
      </c>
      <c r="C10" t="s">
        <v>23</v>
      </c>
      <c r="D10" t="s">
        <v>52</v>
      </c>
      <c r="E10" t="s">
        <v>30</v>
      </c>
      <c r="F10" t="s">
        <v>31</v>
      </c>
      <c r="G10">
        <v>3</v>
      </c>
      <c r="H10">
        <v>6083.27</v>
      </c>
      <c r="I10">
        <v>18249.810000000001</v>
      </c>
      <c r="J10">
        <v>18249.810000000001</v>
      </c>
      <c r="K10">
        <v>1511.63</v>
      </c>
      <c r="L10" t="s">
        <v>16</v>
      </c>
    </row>
    <row r="11" spans="1:12" x14ac:dyDescent="0.25">
      <c r="A11" t="s">
        <v>130</v>
      </c>
      <c r="B11" s="21">
        <v>46139</v>
      </c>
      <c r="C11" t="s">
        <v>35</v>
      </c>
      <c r="D11" t="s">
        <v>52</v>
      </c>
      <c r="E11" t="s">
        <v>30</v>
      </c>
      <c r="F11" t="s">
        <v>64</v>
      </c>
      <c r="G11">
        <v>6</v>
      </c>
      <c r="H11">
        <v>14141.09</v>
      </c>
      <c r="I11">
        <v>84846.54</v>
      </c>
      <c r="J11">
        <v>84846.540000000008</v>
      </c>
      <c r="K11">
        <v>12757.7</v>
      </c>
      <c r="L11" t="s">
        <v>26</v>
      </c>
    </row>
    <row r="12" spans="1:12" x14ac:dyDescent="0.25">
      <c r="A12" t="s">
        <v>50</v>
      </c>
      <c r="B12" s="21">
        <v>46166</v>
      </c>
      <c r="C12" t="s">
        <v>51</v>
      </c>
      <c r="D12" t="s">
        <v>52</v>
      </c>
      <c r="E12" t="s">
        <v>19</v>
      </c>
      <c r="F12" t="s">
        <v>53</v>
      </c>
      <c r="G12">
        <v>2</v>
      </c>
      <c r="H12">
        <v>667.08</v>
      </c>
      <c r="I12">
        <v>1334.16</v>
      </c>
      <c r="J12">
        <v>1334.16</v>
      </c>
      <c r="K12">
        <v>172.54</v>
      </c>
      <c r="L12" t="s">
        <v>43</v>
      </c>
    </row>
    <row r="13" spans="1:12" x14ac:dyDescent="0.25">
      <c r="A13" t="s">
        <v>127</v>
      </c>
      <c r="B13" s="21">
        <v>46089</v>
      </c>
      <c r="C13" t="s">
        <v>37</v>
      </c>
      <c r="D13" t="s">
        <v>52</v>
      </c>
      <c r="E13" t="s">
        <v>19</v>
      </c>
      <c r="F13" t="s">
        <v>49</v>
      </c>
      <c r="G13">
        <v>2</v>
      </c>
      <c r="H13">
        <v>1795.52</v>
      </c>
      <c r="I13">
        <v>3591.04</v>
      </c>
      <c r="J13">
        <v>3591.04</v>
      </c>
      <c r="K13">
        <v>542.12</v>
      </c>
      <c r="L13" t="s">
        <v>26</v>
      </c>
    </row>
    <row r="14" spans="1:12" x14ac:dyDescent="0.25">
      <c r="A14" t="s">
        <v>101</v>
      </c>
      <c r="B14" s="21">
        <v>46192</v>
      </c>
      <c r="C14" t="s">
        <v>12</v>
      </c>
      <c r="D14" t="s">
        <v>52</v>
      </c>
      <c r="E14" t="s">
        <v>19</v>
      </c>
      <c r="F14" t="s">
        <v>20</v>
      </c>
      <c r="G14">
        <v>6</v>
      </c>
      <c r="H14">
        <v>1300.99</v>
      </c>
      <c r="I14">
        <v>7805.94</v>
      </c>
      <c r="J14">
        <v>7805.9400000000005</v>
      </c>
      <c r="K14">
        <v>1597.34</v>
      </c>
      <c r="L14" t="s">
        <v>26</v>
      </c>
    </row>
    <row r="15" spans="1:12" x14ac:dyDescent="0.25">
      <c r="A15" t="s">
        <v>98</v>
      </c>
      <c r="B15" s="21">
        <v>46030</v>
      </c>
      <c r="C15" t="s">
        <v>12</v>
      </c>
      <c r="D15" t="s">
        <v>52</v>
      </c>
      <c r="E15" t="s">
        <v>30</v>
      </c>
      <c r="F15" t="s">
        <v>64</v>
      </c>
      <c r="G15">
        <v>6</v>
      </c>
      <c r="H15">
        <v>15347.22</v>
      </c>
      <c r="I15">
        <v>92083.32</v>
      </c>
      <c r="J15">
        <v>92083.319999999992</v>
      </c>
      <c r="K15">
        <v>17241.97</v>
      </c>
      <c r="L15" t="s">
        <v>21</v>
      </c>
    </row>
    <row r="16" spans="1:12" x14ac:dyDescent="0.25">
      <c r="A16" t="s">
        <v>87</v>
      </c>
      <c r="B16" s="21">
        <v>46152</v>
      </c>
      <c r="C16" t="s">
        <v>88</v>
      </c>
      <c r="D16" t="s">
        <v>52</v>
      </c>
      <c r="E16" t="s">
        <v>57</v>
      </c>
      <c r="F16" t="s">
        <v>89</v>
      </c>
      <c r="G16">
        <v>2</v>
      </c>
      <c r="H16">
        <v>8818.75</v>
      </c>
      <c r="I16">
        <v>17637.5</v>
      </c>
      <c r="J16">
        <v>17637.5</v>
      </c>
      <c r="K16">
        <v>4419.6499999999996</v>
      </c>
      <c r="L16" t="s">
        <v>16</v>
      </c>
    </row>
    <row r="17" spans="1:12" x14ac:dyDescent="0.25">
      <c r="A17" t="s">
        <v>86</v>
      </c>
      <c r="B17" s="21">
        <v>46164</v>
      </c>
      <c r="C17" t="s">
        <v>23</v>
      </c>
      <c r="D17" t="s">
        <v>52</v>
      </c>
      <c r="E17" t="s">
        <v>14</v>
      </c>
      <c r="F17" t="s">
        <v>71</v>
      </c>
      <c r="G17">
        <v>3</v>
      </c>
      <c r="H17">
        <v>87693.14</v>
      </c>
      <c r="I17">
        <v>263079.42</v>
      </c>
      <c r="J17">
        <v>263079.42</v>
      </c>
      <c r="K17">
        <v>26678.15</v>
      </c>
      <c r="L17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opLeftCell="C2" workbookViewId="0">
      <selection activeCell="B8" sqref="B8"/>
    </sheetView>
  </sheetViews>
  <sheetFormatPr defaultRowHeight="15" x14ac:dyDescent="0.25"/>
  <cols>
    <col min="1" max="1" width="14.42578125" customWidth="1"/>
    <col min="2" max="2" width="12.140625" bestFit="1" customWidth="1"/>
  </cols>
  <sheetData>
    <row r="3" spans="1:2" x14ac:dyDescent="0.25">
      <c r="A3" s="19" t="s">
        <v>209</v>
      </c>
      <c r="B3" t="s">
        <v>205</v>
      </c>
    </row>
    <row r="4" spans="1:2" x14ac:dyDescent="0.25">
      <c r="A4" s="20" t="s">
        <v>29</v>
      </c>
      <c r="B4" s="17">
        <v>3120959.78</v>
      </c>
    </row>
    <row r="5" spans="1:2" x14ac:dyDescent="0.25">
      <c r="A5" s="20" t="s">
        <v>46</v>
      </c>
      <c r="B5" s="17">
        <v>2747591.6100000003</v>
      </c>
    </row>
    <row r="6" spans="1:2" x14ac:dyDescent="0.25">
      <c r="A6" s="20" t="s">
        <v>48</v>
      </c>
      <c r="B6" s="17">
        <v>2647136.2799999998</v>
      </c>
    </row>
    <row r="7" spans="1:2" x14ac:dyDescent="0.25">
      <c r="A7" s="20" t="s">
        <v>13</v>
      </c>
      <c r="B7" s="17">
        <v>2572876.2999999998</v>
      </c>
    </row>
    <row r="8" spans="1:2" x14ac:dyDescent="0.25">
      <c r="A8" s="20" t="s">
        <v>24</v>
      </c>
      <c r="B8" s="17">
        <v>1663481.2700000003</v>
      </c>
    </row>
    <row r="9" spans="1:2" x14ac:dyDescent="0.25">
      <c r="A9" s="20" t="s">
        <v>41</v>
      </c>
      <c r="B9" s="17">
        <v>1492727.3499999999</v>
      </c>
    </row>
    <row r="10" spans="1:2" x14ac:dyDescent="0.25">
      <c r="A10" s="20" t="s">
        <v>52</v>
      </c>
      <c r="B10" s="17">
        <v>1193245.43</v>
      </c>
    </row>
    <row r="11" spans="1:2" x14ac:dyDescent="0.25">
      <c r="A11" s="20" t="s">
        <v>66</v>
      </c>
      <c r="B11" s="17">
        <v>1121452.74</v>
      </c>
    </row>
    <row r="12" spans="1:2" x14ac:dyDescent="0.25">
      <c r="A12" s="20" t="s">
        <v>38</v>
      </c>
      <c r="B12" s="17">
        <v>928863.99000000011</v>
      </c>
    </row>
    <row r="13" spans="1:2" x14ac:dyDescent="0.25">
      <c r="A13" s="20" t="s">
        <v>210</v>
      </c>
      <c r="B13" s="17">
        <v>17488334.75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B14" sqref="B14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19" t="s">
        <v>209</v>
      </c>
      <c r="B3" t="s">
        <v>205</v>
      </c>
    </row>
    <row r="4" spans="1:2" x14ac:dyDescent="0.25">
      <c r="A4" s="20" t="s">
        <v>26</v>
      </c>
      <c r="B4" s="17">
        <v>5015659.6399999997</v>
      </c>
    </row>
    <row r="5" spans="1:2" x14ac:dyDescent="0.25">
      <c r="A5" s="20" t="s">
        <v>21</v>
      </c>
      <c r="B5" s="17">
        <v>4995739.3</v>
      </c>
    </row>
    <row r="6" spans="1:2" x14ac:dyDescent="0.25">
      <c r="A6" s="20" t="s">
        <v>16</v>
      </c>
      <c r="B6" s="17">
        <v>4720374.0199999986</v>
      </c>
    </row>
    <row r="7" spans="1:2" x14ac:dyDescent="0.25">
      <c r="A7" s="20" t="s">
        <v>43</v>
      </c>
      <c r="B7" s="17">
        <v>2756561.7899999996</v>
      </c>
    </row>
    <row r="8" spans="1:2" x14ac:dyDescent="0.25">
      <c r="A8" s="20" t="s">
        <v>210</v>
      </c>
      <c r="B8" s="17">
        <v>17488334.749999996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0"/>
  <sheetViews>
    <sheetView workbookViewId="0">
      <selection activeCell="B3" sqref="B3"/>
    </sheetView>
  </sheetViews>
  <sheetFormatPr defaultRowHeight="15" x14ac:dyDescent="0.25"/>
  <cols>
    <col min="1" max="1" width="18.28515625" bestFit="1" customWidth="1"/>
    <col min="2" max="2" width="12.140625" bestFit="1" customWidth="1"/>
  </cols>
  <sheetData>
    <row r="3" spans="1:2" x14ac:dyDescent="0.25">
      <c r="A3" s="19" t="s">
        <v>209</v>
      </c>
      <c r="B3" t="s">
        <v>205</v>
      </c>
    </row>
    <row r="4" spans="1:2" x14ac:dyDescent="0.25">
      <c r="A4" s="22">
        <v>46024</v>
      </c>
      <c r="B4" s="17">
        <v>27161.539999999997</v>
      </c>
    </row>
    <row r="5" spans="1:2" x14ac:dyDescent="0.25">
      <c r="A5" s="22">
        <v>46028</v>
      </c>
      <c r="B5" s="17">
        <v>608299.26</v>
      </c>
    </row>
    <row r="6" spans="1:2" x14ac:dyDescent="0.25">
      <c r="A6" s="22">
        <v>46030</v>
      </c>
      <c r="B6" s="17">
        <v>119934.57</v>
      </c>
    </row>
    <row r="7" spans="1:2" x14ac:dyDescent="0.25">
      <c r="A7" s="22">
        <v>46031</v>
      </c>
      <c r="B7" s="17">
        <v>228332.32</v>
      </c>
    </row>
    <row r="8" spans="1:2" x14ac:dyDescent="0.25">
      <c r="A8" s="22">
        <v>46032</v>
      </c>
      <c r="B8" s="17">
        <v>10601.94</v>
      </c>
    </row>
    <row r="9" spans="1:2" x14ac:dyDescent="0.25">
      <c r="A9" s="22">
        <v>46036</v>
      </c>
      <c r="B9" s="17">
        <v>258382.15</v>
      </c>
    </row>
    <row r="10" spans="1:2" x14ac:dyDescent="0.25">
      <c r="A10" s="22">
        <v>46037</v>
      </c>
      <c r="B10" s="17">
        <v>37629.42</v>
      </c>
    </row>
    <row r="11" spans="1:2" x14ac:dyDescent="0.25">
      <c r="A11" s="22">
        <v>46044</v>
      </c>
      <c r="B11" s="17">
        <v>171087.6</v>
      </c>
    </row>
    <row r="12" spans="1:2" x14ac:dyDescent="0.25">
      <c r="A12" s="22">
        <v>46046</v>
      </c>
      <c r="B12" s="17">
        <v>225394.30000000002</v>
      </c>
    </row>
    <row r="13" spans="1:2" x14ac:dyDescent="0.25">
      <c r="A13" s="22">
        <v>46047</v>
      </c>
      <c r="B13" s="17">
        <v>3821.4</v>
      </c>
    </row>
    <row r="14" spans="1:2" x14ac:dyDescent="0.25">
      <c r="A14" s="22">
        <v>46048</v>
      </c>
      <c r="B14" s="17">
        <v>17839</v>
      </c>
    </row>
    <row r="15" spans="1:2" x14ac:dyDescent="0.25">
      <c r="A15" s="22">
        <v>46054</v>
      </c>
      <c r="B15" s="17">
        <v>30344.43</v>
      </c>
    </row>
    <row r="16" spans="1:2" x14ac:dyDescent="0.25">
      <c r="A16" s="22">
        <v>46056</v>
      </c>
      <c r="B16" s="17">
        <v>165628.59</v>
      </c>
    </row>
    <row r="17" spans="1:2" x14ac:dyDescent="0.25">
      <c r="A17" s="22">
        <v>46058</v>
      </c>
      <c r="B17" s="17">
        <v>22519.64</v>
      </c>
    </row>
    <row r="18" spans="1:2" x14ac:dyDescent="0.25">
      <c r="A18" s="22">
        <v>46059</v>
      </c>
      <c r="B18" s="17">
        <v>529984.80000000005</v>
      </c>
    </row>
    <row r="19" spans="1:2" x14ac:dyDescent="0.25">
      <c r="A19" s="22">
        <v>46061</v>
      </c>
      <c r="B19" s="17">
        <v>1098.06</v>
      </c>
    </row>
    <row r="20" spans="1:2" x14ac:dyDescent="0.25">
      <c r="A20" s="22">
        <v>46062</v>
      </c>
      <c r="B20" s="17">
        <v>338353.96</v>
      </c>
    </row>
    <row r="21" spans="1:2" x14ac:dyDescent="0.25">
      <c r="A21" s="22">
        <v>46064</v>
      </c>
      <c r="B21" s="17">
        <v>203959.41</v>
      </c>
    </row>
    <row r="22" spans="1:2" x14ac:dyDescent="0.25">
      <c r="A22" s="22">
        <v>46065</v>
      </c>
      <c r="B22" s="17">
        <v>395159.32</v>
      </c>
    </row>
    <row r="23" spans="1:2" x14ac:dyDescent="0.25">
      <c r="A23" s="22">
        <v>46067</v>
      </c>
      <c r="B23" s="17">
        <v>356710.70999999996</v>
      </c>
    </row>
    <row r="24" spans="1:2" x14ac:dyDescent="0.25">
      <c r="A24" s="22">
        <v>46072</v>
      </c>
      <c r="B24" s="17">
        <v>7484</v>
      </c>
    </row>
    <row r="25" spans="1:2" x14ac:dyDescent="0.25">
      <c r="A25" s="22">
        <v>46073</v>
      </c>
      <c r="B25" s="17">
        <v>24829.42</v>
      </c>
    </row>
    <row r="26" spans="1:2" x14ac:dyDescent="0.25">
      <c r="A26" s="22">
        <v>46076</v>
      </c>
      <c r="B26" s="17">
        <v>74672.149999999994</v>
      </c>
    </row>
    <row r="27" spans="1:2" x14ac:dyDescent="0.25">
      <c r="A27" s="22">
        <v>46077</v>
      </c>
      <c r="B27" s="17">
        <v>129673.86</v>
      </c>
    </row>
    <row r="28" spans="1:2" x14ac:dyDescent="0.25">
      <c r="A28" s="22">
        <v>46079</v>
      </c>
      <c r="B28" s="17">
        <v>180504.8</v>
      </c>
    </row>
    <row r="29" spans="1:2" x14ac:dyDescent="0.25">
      <c r="A29" s="22">
        <v>46085</v>
      </c>
      <c r="B29" s="17">
        <v>62770.37</v>
      </c>
    </row>
    <row r="30" spans="1:2" x14ac:dyDescent="0.25">
      <c r="A30" s="22">
        <v>46086</v>
      </c>
      <c r="B30" s="17">
        <v>7775.44</v>
      </c>
    </row>
    <row r="31" spans="1:2" x14ac:dyDescent="0.25">
      <c r="A31" s="22">
        <v>46087</v>
      </c>
      <c r="B31" s="17">
        <v>63513.75</v>
      </c>
    </row>
    <row r="32" spans="1:2" x14ac:dyDescent="0.25">
      <c r="A32" s="22">
        <v>46088</v>
      </c>
      <c r="B32" s="17">
        <v>1786.02</v>
      </c>
    </row>
    <row r="33" spans="1:2" x14ac:dyDescent="0.25">
      <c r="A33" s="22">
        <v>46089</v>
      </c>
      <c r="B33" s="17">
        <v>339113.44</v>
      </c>
    </row>
    <row r="34" spans="1:2" x14ac:dyDescent="0.25">
      <c r="A34" s="22">
        <v>46091</v>
      </c>
      <c r="B34" s="17">
        <v>55278.44</v>
      </c>
    </row>
    <row r="35" spans="1:2" x14ac:dyDescent="0.25">
      <c r="A35" s="22">
        <v>46093</v>
      </c>
      <c r="B35" s="17">
        <v>553901.88</v>
      </c>
    </row>
    <row r="36" spans="1:2" x14ac:dyDescent="0.25">
      <c r="A36" s="22">
        <v>46094</v>
      </c>
      <c r="B36" s="17">
        <v>4911.04</v>
      </c>
    </row>
    <row r="37" spans="1:2" x14ac:dyDescent="0.25">
      <c r="A37" s="22">
        <v>46099</v>
      </c>
      <c r="B37" s="17">
        <v>182959.92</v>
      </c>
    </row>
    <row r="38" spans="1:2" x14ac:dyDescent="0.25">
      <c r="A38" s="22">
        <v>46101</v>
      </c>
      <c r="B38" s="17">
        <v>2251.2600000000002</v>
      </c>
    </row>
    <row r="39" spans="1:2" x14ac:dyDescent="0.25">
      <c r="A39" s="22">
        <v>46103</v>
      </c>
      <c r="B39" s="17">
        <v>28961.46</v>
      </c>
    </row>
    <row r="40" spans="1:2" x14ac:dyDescent="0.25">
      <c r="A40" s="22">
        <v>46105</v>
      </c>
      <c r="B40" s="17">
        <v>5447.85</v>
      </c>
    </row>
    <row r="41" spans="1:2" x14ac:dyDescent="0.25">
      <c r="A41" s="22">
        <v>46106</v>
      </c>
      <c r="B41" s="17">
        <v>122953.41</v>
      </c>
    </row>
    <row r="42" spans="1:2" x14ac:dyDescent="0.25">
      <c r="A42" s="22">
        <v>46107</v>
      </c>
      <c r="B42" s="17">
        <v>11761.52</v>
      </c>
    </row>
    <row r="43" spans="1:2" x14ac:dyDescent="0.25">
      <c r="A43" s="22">
        <v>46108</v>
      </c>
      <c r="B43" s="17">
        <v>249886.81</v>
      </c>
    </row>
    <row r="44" spans="1:2" x14ac:dyDescent="0.25">
      <c r="A44" s="22">
        <v>46109</v>
      </c>
      <c r="B44" s="17">
        <v>26471.56</v>
      </c>
    </row>
    <row r="45" spans="1:2" x14ac:dyDescent="0.25">
      <c r="A45" s="22">
        <v>46110</v>
      </c>
      <c r="B45" s="17">
        <v>81825.600000000006</v>
      </c>
    </row>
    <row r="46" spans="1:2" x14ac:dyDescent="0.25">
      <c r="A46" s="22">
        <v>46112</v>
      </c>
      <c r="B46" s="17">
        <v>848367.8</v>
      </c>
    </row>
    <row r="47" spans="1:2" x14ac:dyDescent="0.25">
      <c r="A47" s="22">
        <v>46113</v>
      </c>
      <c r="B47" s="17">
        <v>4552.8500000000004</v>
      </c>
    </row>
    <row r="48" spans="1:2" x14ac:dyDescent="0.25">
      <c r="A48" s="22">
        <v>46114</v>
      </c>
      <c r="B48" s="17">
        <v>11578.5</v>
      </c>
    </row>
    <row r="49" spans="1:2" x14ac:dyDescent="0.25">
      <c r="A49" s="22">
        <v>46116</v>
      </c>
      <c r="B49" s="17">
        <v>137449.34</v>
      </c>
    </row>
    <row r="50" spans="1:2" x14ac:dyDescent="0.25">
      <c r="A50" s="22">
        <v>46118</v>
      </c>
      <c r="B50" s="17">
        <v>108165.54</v>
      </c>
    </row>
    <row r="51" spans="1:2" x14ac:dyDescent="0.25">
      <c r="A51" s="22">
        <v>46119</v>
      </c>
      <c r="B51" s="17">
        <v>2614.87</v>
      </c>
    </row>
    <row r="52" spans="1:2" x14ac:dyDescent="0.25">
      <c r="A52" s="22">
        <v>46120</v>
      </c>
      <c r="B52" s="17">
        <v>411765.83999999997</v>
      </c>
    </row>
    <row r="53" spans="1:2" x14ac:dyDescent="0.25">
      <c r="A53" s="22">
        <v>46122</v>
      </c>
      <c r="B53" s="17">
        <v>51097.36</v>
      </c>
    </row>
    <row r="54" spans="1:2" x14ac:dyDescent="0.25">
      <c r="A54" s="22">
        <v>46124</v>
      </c>
      <c r="B54" s="17">
        <v>203685.34</v>
      </c>
    </row>
    <row r="55" spans="1:2" x14ac:dyDescent="0.25">
      <c r="A55" s="22">
        <v>46125</v>
      </c>
      <c r="B55" s="17">
        <v>1375.86</v>
      </c>
    </row>
    <row r="56" spans="1:2" x14ac:dyDescent="0.25">
      <c r="A56" s="22">
        <v>46126</v>
      </c>
      <c r="B56" s="17">
        <v>191854.35</v>
      </c>
    </row>
    <row r="57" spans="1:2" x14ac:dyDescent="0.25">
      <c r="A57" s="22">
        <v>46127</v>
      </c>
      <c r="B57" s="17">
        <v>133058.94</v>
      </c>
    </row>
    <row r="58" spans="1:2" x14ac:dyDescent="0.25">
      <c r="A58" s="22">
        <v>46129</v>
      </c>
      <c r="B58" s="17">
        <v>160492.15</v>
      </c>
    </row>
    <row r="59" spans="1:2" x14ac:dyDescent="0.25">
      <c r="A59" s="22">
        <v>46130</v>
      </c>
      <c r="B59" s="17">
        <v>22873.759999999998</v>
      </c>
    </row>
    <row r="60" spans="1:2" x14ac:dyDescent="0.25">
      <c r="A60" s="22">
        <v>46132</v>
      </c>
      <c r="B60" s="17">
        <v>75729.760000000009</v>
      </c>
    </row>
    <row r="61" spans="1:2" x14ac:dyDescent="0.25">
      <c r="A61" s="22">
        <v>46133</v>
      </c>
      <c r="B61" s="17">
        <v>3783.56</v>
      </c>
    </row>
    <row r="62" spans="1:2" x14ac:dyDescent="0.25">
      <c r="A62" s="22">
        <v>46136</v>
      </c>
      <c r="B62" s="17">
        <v>295734.55</v>
      </c>
    </row>
    <row r="63" spans="1:2" x14ac:dyDescent="0.25">
      <c r="A63" s="22">
        <v>46139</v>
      </c>
      <c r="B63" s="17">
        <v>89421.14</v>
      </c>
    </row>
    <row r="64" spans="1:2" x14ac:dyDescent="0.25">
      <c r="A64" s="22">
        <v>46147</v>
      </c>
      <c r="B64" s="17">
        <v>61116.08</v>
      </c>
    </row>
    <row r="65" spans="1:2" x14ac:dyDescent="0.25">
      <c r="A65" s="22">
        <v>46149</v>
      </c>
      <c r="B65" s="17">
        <v>3958.08</v>
      </c>
    </row>
    <row r="66" spans="1:2" x14ac:dyDescent="0.25">
      <c r="A66" s="22">
        <v>46151</v>
      </c>
      <c r="B66" s="17">
        <v>2105.5500000000002</v>
      </c>
    </row>
    <row r="67" spans="1:2" x14ac:dyDescent="0.25">
      <c r="A67" s="22">
        <v>46152</v>
      </c>
      <c r="B67" s="17">
        <v>17637.5</v>
      </c>
    </row>
    <row r="68" spans="1:2" x14ac:dyDescent="0.25">
      <c r="A68" s="22">
        <v>46156</v>
      </c>
      <c r="B68" s="17">
        <v>2453.9699999999998</v>
      </c>
    </row>
    <row r="69" spans="1:2" x14ac:dyDescent="0.25">
      <c r="A69" s="22">
        <v>46157</v>
      </c>
      <c r="B69" s="17">
        <v>9136.1200000000008</v>
      </c>
    </row>
    <row r="70" spans="1:2" x14ac:dyDescent="0.25">
      <c r="A70" s="22">
        <v>46158</v>
      </c>
      <c r="B70" s="17">
        <v>895821.95</v>
      </c>
    </row>
    <row r="71" spans="1:2" x14ac:dyDescent="0.25">
      <c r="A71" s="22">
        <v>46159</v>
      </c>
      <c r="B71" s="17">
        <v>18249.810000000001</v>
      </c>
    </row>
    <row r="72" spans="1:2" x14ac:dyDescent="0.25">
      <c r="A72" s="22">
        <v>46160</v>
      </c>
      <c r="B72" s="17">
        <v>236506.26</v>
      </c>
    </row>
    <row r="73" spans="1:2" x14ac:dyDescent="0.25">
      <c r="A73" s="22">
        <v>46163</v>
      </c>
      <c r="B73" s="17">
        <v>889.76</v>
      </c>
    </row>
    <row r="74" spans="1:2" x14ac:dyDescent="0.25">
      <c r="A74" s="22">
        <v>46164</v>
      </c>
      <c r="B74" s="17">
        <v>266707.18</v>
      </c>
    </row>
    <row r="75" spans="1:2" x14ac:dyDescent="0.25">
      <c r="A75" s="22">
        <v>46165</v>
      </c>
      <c r="B75" s="17">
        <v>90085.759999999995</v>
      </c>
    </row>
    <row r="76" spans="1:2" x14ac:dyDescent="0.25">
      <c r="A76" s="22">
        <v>46166</v>
      </c>
      <c r="B76" s="17">
        <v>345236.04</v>
      </c>
    </row>
    <row r="77" spans="1:2" x14ac:dyDescent="0.25">
      <c r="A77" s="22">
        <v>46167</v>
      </c>
      <c r="B77" s="17">
        <v>512305.44</v>
      </c>
    </row>
    <row r="78" spans="1:2" x14ac:dyDescent="0.25">
      <c r="A78" s="22">
        <v>46170</v>
      </c>
      <c r="B78" s="17">
        <v>5204.32</v>
      </c>
    </row>
    <row r="79" spans="1:2" x14ac:dyDescent="0.25">
      <c r="A79" s="22">
        <v>46175</v>
      </c>
      <c r="B79" s="17">
        <v>312797.26</v>
      </c>
    </row>
    <row r="80" spans="1:2" x14ac:dyDescent="0.25">
      <c r="A80" s="22">
        <v>46176</v>
      </c>
      <c r="B80" s="17">
        <v>3636.92</v>
      </c>
    </row>
    <row r="81" spans="1:2" x14ac:dyDescent="0.25">
      <c r="A81" s="22">
        <v>46177</v>
      </c>
      <c r="B81" s="17">
        <v>1102.49</v>
      </c>
    </row>
    <row r="82" spans="1:2" x14ac:dyDescent="0.25">
      <c r="A82" s="22">
        <v>46179</v>
      </c>
      <c r="B82" s="17">
        <v>27735.48</v>
      </c>
    </row>
    <row r="83" spans="1:2" x14ac:dyDescent="0.25">
      <c r="A83" s="22">
        <v>46182</v>
      </c>
      <c r="B83" s="17">
        <v>200384.96</v>
      </c>
    </row>
    <row r="84" spans="1:2" x14ac:dyDescent="0.25">
      <c r="A84" s="22">
        <v>46184</v>
      </c>
      <c r="B84" s="17">
        <v>448420.65</v>
      </c>
    </row>
    <row r="85" spans="1:2" x14ac:dyDescent="0.25">
      <c r="A85" s="22">
        <v>46185</v>
      </c>
      <c r="B85" s="17">
        <v>1966.23</v>
      </c>
    </row>
    <row r="86" spans="1:2" x14ac:dyDescent="0.25">
      <c r="A86" s="22">
        <v>46188</v>
      </c>
      <c r="B86" s="17">
        <v>3825.48</v>
      </c>
    </row>
    <row r="87" spans="1:2" x14ac:dyDescent="0.25">
      <c r="A87" s="22">
        <v>46189</v>
      </c>
      <c r="B87" s="17">
        <v>3073.52</v>
      </c>
    </row>
    <row r="88" spans="1:2" x14ac:dyDescent="0.25">
      <c r="A88" s="22">
        <v>46191</v>
      </c>
      <c r="B88" s="17">
        <v>2538.96</v>
      </c>
    </row>
    <row r="89" spans="1:2" x14ac:dyDescent="0.25">
      <c r="A89" s="22">
        <v>46192</v>
      </c>
      <c r="B89" s="17">
        <v>7805.94</v>
      </c>
    </row>
    <row r="90" spans="1:2" x14ac:dyDescent="0.25">
      <c r="A90" s="22">
        <v>46194</v>
      </c>
      <c r="B90" s="17">
        <v>469790.75999999995</v>
      </c>
    </row>
    <row r="91" spans="1:2" x14ac:dyDescent="0.25">
      <c r="A91" s="22">
        <v>46195</v>
      </c>
      <c r="B91" s="17">
        <v>3626.34</v>
      </c>
    </row>
    <row r="92" spans="1:2" x14ac:dyDescent="0.25">
      <c r="A92" s="22">
        <v>46196</v>
      </c>
      <c r="B92" s="17">
        <v>71772.649999999994</v>
      </c>
    </row>
    <row r="93" spans="1:2" x14ac:dyDescent="0.25">
      <c r="A93" s="22">
        <v>46198</v>
      </c>
      <c r="B93" s="17">
        <v>110516.75</v>
      </c>
    </row>
    <row r="94" spans="1:2" x14ac:dyDescent="0.25">
      <c r="A94" s="22">
        <v>46202</v>
      </c>
      <c r="B94" s="17">
        <v>9248.7199999999993</v>
      </c>
    </row>
    <row r="95" spans="1:2" x14ac:dyDescent="0.25">
      <c r="A95" s="22">
        <v>46203</v>
      </c>
      <c r="B95" s="17">
        <v>412881.64</v>
      </c>
    </row>
    <row r="96" spans="1:2" x14ac:dyDescent="0.25">
      <c r="A96" s="22">
        <v>46204</v>
      </c>
      <c r="B96" s="17">
        <v>169474.32</v>
      </c>
    </row>
    <row r="97" spans="1:2" x14ac:dyDescent="0.25">
      <c r="A97" s="22">
        <v>46207</v>
      </c>
      <c r="B97" s="17">
        <v>5953.24</v>
      </c>
    </row>
    <row r="98" spans="1:2" x14ac:dyDescent="0.25">
      <c r="A98" s="22">
        <v>46211</v>
      </c>
      <c r="B98" s="17">
        <v>1215396.69</v>
      </c>
    </row>
    <row r="99" spans="1:2" x14ac:dyDescent="0.25">
      <c r="A99" s="22">
        <v>46214</v>
      </c>
      <c r="B99" s="17">
        <v>24623.43</v>
      </c>
    </row>
    <row r="100" spans="1:2" x14ac:dyDescent="0.25">
      <c r="A100" s="22">
        <v>46215</v>
      </c>
      <c r="B100" s="17">
        <v>164186.88</v>
      </c>
    </row>
    <row r="101" spans="1:2" x14ac:dyDescent="0.25">
      <c r="A101" s="22">
        <v>46217</v>
      </c>
      <c r="B101" s="17">
        <v>43948.02</v>
      </c>
    </row>
    <row r="102" spans="1:2" x14ac:dyDescent="0.25">
      <c r="A102" s="22">
        <v>46219</v>
      </c>
      <c r="B102" s="17">
        <v>1163114.28</v>
      </c>
    </row>
    <row r="103" spans="1:2" x14ac:dyDescent="0.25">
      <c r="A103" s="22">
        <v>46220</v>
      </c>
      <c r="B103" s="17">
        <v>35642.519999999997</v>
      </c>
    </row>
    <row r="104" spans="1:2" x14ac:dyDescent="0.25">
      <c r="A104" s="22">
        <v>46224</v>
      </c>
      <c r="B104" s="17">
        <v>12231.77</v>
      </c>
    </row>
    <row r="105" spans="1:2" x14ac:dyDescent="0.25">
      <c r="A105" s="22">
        <v>46225</v>
      </c>
      <c r="B105" s="17">
        <v>6816.12</v>
      </c>
    </row>
    <row r="106" spans="1:2" x14ac:dyDescent="0.25">
      <c r="A106" s="22">
        <v>46226</v>
      </c>
      <c r="B106" s="17">
        <v>61709.94</v>
      </c>
    </row>
    <row r="107" spans="1:2" x14ac:dyDescent="0.25">
      <c r="A107" s="22">
        <v>46228</v>
      </c>
      <c r="B107" s="17">
        <v>43400.24</v>
      </c>
    </row>
    <row r="108" spans="1:2" x14ac:dyDescent="0.25">
      <c r="A108" s="22">
        <v>46229</v>
      </c>
      <c r="B108" s="17">
        <v>2631.3</v>
      </c>
    </row>
    <row r="109" spans="1:2" x14ac:dyDescent="0.25">
      <c r="A109" s="22">
        <v>46230</v>
      </c>
      <c r="B109" s="17">
        <v>661905.28</v>
      </c>
    </row>
    <row r="110" spans="1:2" x14ac:dyDescent="0.25">
      <c r="A110" s="22">
        <v>46233</v>
      </c>
      <c r="B110" s="17">
        <v>45647.7</v>
      </c>
    </row>
    <row r="111" spans="1:2" x14ac:dyDescent="0.25">
      <c r="A111" s="22">
        <v>46235</v>
      </c>
      <c r="B111" s="17">
        <v>12913.23</v>
      </c>
    </row>
    <row r="112" spans="1:2" x14ac:dyDescent="0.25">
      <c r="A112" s="22">
        <v>46240</v>
      </c>
      <c r="B112" s="17">
        <v>154763.67000000001</v>
      </c>
    </row>
    <row r="113" spans="1:2" x14ac:dyDescent="0.25">
      <c r="A113" s="22">
        <v>46242</v>
      </c>
      <c r="B113" s="17">
        <v>36962.699999999997</v>
      </c>
    </row>
    <row r="114" spans="1:2" x14ac:dyDescent="0.25">
      <c r="A114" s="22">
        <v>46244</v>
      </c>
      <c r="B114" s="17">
        <v>256943.32</v>
      </c>
    </row>
    <row r="115" spans="1:2" x14ac:dyDescent="0.25">
      <c r="A115" s="22">
        <v>46245</v>
      </c>
      <c r="B115" s="17">
        <v>37178.199999999997</v>
      </c>
    </row>
    <row r="116" spans="1:2" x14ac:dyDescent="0.25">
      <c r="A116" s="22">
        <v>46247</v>
      </c>
      <c r="B116" s="17">
        <v>1695.95</v>
      </c>
    </row>
    <row r="117" spans="1:2" x14ac:dyDescent="0.25">
      <c r="A117" s="22">
        <v>46248</v>
      </c>
      <c r="B117" s="17">
        <v>39363.599999999999</v>
      </c>
    </row>
    <row r="118" spans="1:2" x14ac:dyDescent="0.25">
      <c r="A118" s="22">
        <v>46251</v>
      </c>
      <c r="B118" s="17">
        <v>4756.33</v>
      </c>
    </row>
    <row r="119" spans="1:2" x14ac:dyDescent="0.25">
      <c r="A119" s="22">
        <v>46253</v>
      </c>
      <c r="B119" s="17">
        <v>3959.52</v>
      </c>
    </row>
    <row r="120" spans="1:2" x14ac:dyDescent="0.25">
      <c r="A120" s="22" t="s">
        <v>210</v>
      </c>
      <c r="B120" s="17">
        <v>17488334.749999996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8"/>
      <c r="B3" s="9"/>
      <c r="C3" s="10"/>
    </row>
    <row r="4" spans="1:3" x14ac:dyDescent="0.25">
      <c r="A4" s="11"/>
      <c r="B4" s="12"/>
      <c r="C4" s="13"/>
    </row>
    <row r="5" spans="1:3" x14ac:dyDescent="0.25">
      <c r="A5" s="11"/>
      <c r="B5" s="12"/>
      <c r="C5" s="13"/>
    </row>
    <row r="6" spans="1:3" x14ac:dyDescent="0.25">
      <c r="A6" s="11"/>
      <c r="B6" s="12"/>
      <c r="C6" s="13"/>
    </row>
    <row r="7" spans="1:3" x14ac:dyDescent="0.25">
      <c r="A7" s="11"/>
      <c r="B7" s="12"/>
      <c r="C7" s="13"/>
    </row>
    <row r="8" spans="1:3" x14ac:dyDescent="0.25">
      <c r="A8" s="11"/>
      <c r="B8" s="12"/>
      <c r="C8" s="13"/>
    </row>
    <row r="9" spans="1:3" x14ac:dyDescent="0.25">
      <c r="A9" s="11"/>
      <c r="B9" s="12"/>
      <c r="C9" s="13"/>
    </row>
    <row r="10" spans="1:3" x14ac:dyDescent="0.25">
      <c r="A10" s="11"/>
      <c r="B10" s="12"/>
      <c r="C10" s="13"/>
    </row>
    <row r="11" spans="1:3" x14ac:dyDescent="0.25">
      <c r="A11" s="11"/>
      <c r="B11" s="12"/>
      <c r="C11" s="13"/>
    </row>
    <row r="12" spans="1:3" x14ac:dyDescent="0.25">
      <c r="A12" s="11"/>
      <c r="B12" s="12"/>
      <c r="C12" s="13"/>
    </row>
    <row r="13" spans="1:3" x14ac:dyDescent="0.25">
      <c r="A13" s="11"/>
      <c r="B13" s="12"/>
      <c r="C13" s="13"/>
    </row>
    <row r="14" spans="1:3" x14ac:dyDescent="0.25">
      <c r="A14" s="11"/>
      <c r="B14" s="12"/>
      <c r="C14" s="13"/>
    </row>
    <row r="15" spans="1:3" x14ac:dyDescent="0.25">
      <c r="A15" s="11"/>
      <c r="B15" s="12"/>
      <c r="C15" s="13"/>
    </row>
    <row r="16" spans="1:3" x14ac:dyDescent="0.25">
      <c r="A16" s="11"/>
      <c r="B16" s="12"/>
      <c r="C16" s="13"/>
    </row>
    <row r="17" spans="1:3" x14ac:dyDescent="0.25">
      <c r="A17" s="11"/>
      <c r="B17" s="12"/>
      <c r="C17" s="13"/>
    </row>
    <row r="18" spans="1:3" x14ac:dyDescent="0.25">
      <c r="A18" s="11"/>
      <c r="B18" s="12"/>
      <c r="C18" s="13"/>
    </row>
    <row r="19" spans="1:3" x14ac:dyDescent="0.25">
      <c r="A19" s="11"/>
      <c r="B19" s="12"/>
      <c r="C19" s="13"/>
    </row>
    <row r="20" spans="1:3" x14ac:dyDescent="0.25">
      <c r="A20" s="14"/>
      <c r="B20" s="15"/>
      <c r="C20" s="16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8"/>
      <c r="B3" s="9"/>
      <c r="C3" s="10"/>
    </row>
    <row r="4" spans="1:3" x14ac:dyDescent="0.25">
      <c r="A4" s="11"/>
      <c r="B4" s="12"/>
      <c r="C4" s="13"/>
    </row>
    <row r="5" spans="1:3" x14ac:dyDescent="0.25">
      <c r="A5" s="11"/>
      <c r="B5" s="12"/>
      <c r="C5" s="13"/>
    </row>
    <row r="6" spans="1:3" x14ac:dyDescent="0.25">
      <c r="A6" s="11"/>
      <c r="B6" s="12"/>
      <c r="C6" s="13"/>
    </row>
    <row r="7" spans="1:3" x14ac:dyDescent="0.25">
      <c r="A7" s="11"/>
      <c r="B7" s="12"/>
      <c r="C7" s="13"/>
    </row>
    <row r="8" spans="1:3" x14ac:dyDescent="0.25">
      <c r="A8" s="11"/>
      <c r="B8" s="12"/>
      <c r="C8" s="13"/>
    </row>
    <row r="9" spans="1:3" x14ac:dyDescent="0.25">
      <c r="A9" s="11"/>
      <c r="B9" s="12"/>
      <c r="C9" s="13"/>
    </row>
    <row r="10" spans="1:3" x14ac:dyDescent="0.25">
      <c r="A10" s="11"/>
      <c r="B10" s="12"/>
      <c r="C10" s="13"/>
    </row>
    <row r="11" spans="1:3" x14ac:dyDescent="0.25">
      <c r="A11" s="11"/>
      <c r="B11" s="12"/>
      <c r="C11" s="13"/>
    </row>
    <row r="12" spans="1:3" x14ac:dyDescent="0.25">
      <c r="A12" s="11"/>
      <c r="B12" s="12"/>
      <c r="C12" s="13"/>
    </row>
    <row r="13" spans="1:3" x14ac:dyDescent="0.25">
      <c r="A13" s="11"/>
      <c r="B13" s="12"/>
      <c r="C13" s="13"/>
    </row>
    <row r="14" spans="1:3" x14ac:dyDescent="0.25">
      <c r="A14" s="11"/>
      <c r="B14" s="12"/>
      <c r="C14" s="13"/>
    </row>
    <row r="15" spans="1:3" x14ac:dyDescent="0.25">
      <c r="A15" s="11"/>
      <c r="B15" s="12"/>
      <c r="C15" s="13"/>
    </row>
    <row r="16" spans="1:3" x14ac:dyDescent="0.25">
      <c r="A16" s="11"/>
      <c r="B16" s="12"/>
      <c r="C16" s="13"/>
    </row>
    <row r="17" spans="1:3" x14ac:dyDescent="0.25">
      <c r="A17" s="11"/>
      <c r="B17" s="12"/>
      <c r="C17" s="13"/>
    </row>
    <row r="18" spans="1:3" x14ac:dyDescent="0.25">
      <c r="A18" s="11"/>
      <c r="B18" s="12"/>
      <c r="C18" s="13"/>
    </row>
    <row r="19" spans="1:3" x14ac:dyDescent="0.25">
      <c r="A19" s="11"/>
      <c r="B19" s="12"/>
      <c r="C19" s="13"/>
    </row>
    <row r="20" spans="1:3" x14ac:dyDescent="0.25">
      <c r="A20" s="14"/>
      <c r="B20" s="15"/>
      <c r="C20" s="16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2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6.42578125" bestFit="1" customWidth="1"/>
  </cols>
  <sheetData>
    <row r="3" spans="1:2" x14ac:dyDescent="0.25">
      <c r="A3" s="19" t="s">
        <v>209</v>
      </c>
      <c r="B3" t="s">
        <v>212</v>
      </c>
    </row>
    <row r="4" spans="1:2" x14ac:dyDescent="0.25">
      <c r="A4" s="20" t="s">
        <v>216</v>
      </c>
      <c r="B4" s="17">
        <v>506892.83</v>
      </c>
    </row>
    <row r="5" spans="1:2" x14ac:dyDescent="0.25">
      <c r="A5" s="20" t="s">
        <v>220</v>
      </c>
      <c r="B5" s="17">
        <v>196958.84</v>
      </c>
    </row>
    <row r="6" spans="1:2" x14ac:dyDescent="0.25">
      <c r="A6" s="20" t="s">
        <v>214</v>
      </c>
      <c r="B6" s="17">
        <v>761715.36</v>
      </c>
    </row>
    <row r="7" spans="1:2" x14ac:dyDescent="0.25">
      <c r="A7" s="20" t="s">
        <v>213</v>
      </c>
      <c r="B7" s="17">
        <v>427930.39</v>
      </c>
    </row>
    <row r="8" spans="1:2" x14ac:dyDescent="0.25">
      <c r="A8" s="20" t="s">
        <v>219</v>
      </c>
      <c r="B8" s="17">
        <v>811001.25</v>
      </c>
    </row>
    <row r="9" spans="1:2" x14ac:dyDescent="0.25">
      <c r="A9" s="20" t="s">
        <v>218</v>
      </c>
      <c r="B9" s="17">
        <v>651452.1</v>
      </c>
    </row>
    <row r="10" spans="1:2" x14ac:dyDescent="0.25">
      <c r="A10" s="20" t="s">
        <v>215</v>
      </c>
      <c r="B10" s="17">
        <v>665307.49</v>
      </c>
    </row>
    <row r="11" spans="1:2" x14ac:dyDescent="0.25">
      <c r="A11" s="20" t="s">
        <v>217</v>
      </c>
      <c r="B11" s="17">
        <v>716812.83</v>
      </c>
    </row>
    <row r="12" spans="1:2" x14ac:dyDescent="0.25">
      <c r="A12" s="20" t="s">
        <v>210</v>
      </c>
      <c r="B12" s="17">
        <v>4738071.09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"/>
  <sheetViews>
    <sheetView showGridLines="0" tabSelected="1" workbookViewId="0">
      <selection activeCell="Q4" sqref="Q4"/>
    </sheetView>
  </sheetViews>
  <sheetFormatPr defaultRowHeight="15" x14ac:dyDescent="0.25"/>
  <cols>
    <col min="1" max="1" width="17.42578125" customWidth="1"/>
    <col min="2" max="2" width="10.7109375" customWidth="1"/>
    <col min="3" max="3" width="15.140625" customWidth="1"/>
    <col min="4" max="4" width="12.85546875" customWidth="1"/>
    <col min="5" max="5" width="11.42578125" customWidth="1"/>
    <col min="7" max="7" width="11.42578125" customWidth="1"/>
    <col min="8" max="8" width="10.28515625" customWidth="1"/>
  </cols>
  <sheetData>
    <row r="1" spans="2:9" ht="26.25" x14ac:dyDescent="0.4">
      <c r="D1" s="25" t="s">
        <v>227</v>
      </c>
    </row>
    <row r="3" spans="2:9" x14ac:dyDescent="0.25">
      <c r="B3" s="24" t="s">
        <v>221</v>
      </c>
      <c r="D3" s="24" t="s">
        <v>223</v>
      </c>
      <c r="G3" s="24" t="s">
        <v>225</v>
      </c>
      <c r="I3" s="24" t="s">
        <v>208</v>
      </c>
    </row>
    <row r="4" spans="2:9" x14ac:dyDescent="0.25">
      <c r="B4" s="24" t="s">
        <v>222</v>
      </c>
      <c r="D4" s="24" t="s">
        <v>224</v>
      </c>
      <c r="G4" s="24">
        <v>150</v>
      </c>
      <c r="I4" s="24" t="s">
        <v>226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6"/>
  <sheetViews>
    <sheetView topLeftCell="A64" workbookViewId="0">
      <selection activeCell="A74" sqref="A74"/>
    </sheetView>
  </sheetViews>
  <sheetFormatPr defaultRowHeight="15" x14ac:dyDescent="0.25"/>
  <cols>
    <col min="1" max="1" width="20.140625" bestFit="1" customWidth="1"/>
    <col min="2" max="2" width="12.140625" bestFit="1" customWidth="1"/>
  </cols>
  <sheetData>
    <row r="3" spans="1:2" x14ac:dyDescent="0.25">
      <c r="A3" s="19" t="s">
        <v>209</v>
      </c>
      <c r="B3" t="s">
        <v>205</v>
      </c>
    </row>
    <row r="4" spans="1:2" x14ac:dyDescent="0.25">
      <c r="A4" s="22">
        <v>46024</v>
      </c>
      <c r="B4" s="17">
        <v>27161.539999999997</v>
      </c>
    </row>
    <row r="5" spans="1:2" x14ac:dyDescent="0.25">
      <c r="A5" s="23" t="s">
        <v>213</v>
      </c>
      <c r="B5" s="17">
        <v>27161.539999999997</v>
      </c>
    </row>
    <row r="6" spans="1:2" x14ac:dyDescent="0.25">
      <c r="A6" s="22">
        <v>46028</v>
      </c>
      <c r="B6" s="17">
        <v>608299.26</v>
      </c>
    </row>
    <row r="7" spans="1:2" x14ac:dyDescent="0.25">
      <c r="A7" s="23" t="s">
        <v>213</v>
      </c>
      <c r="B7" s="17">
        <v>608299.26</v>
      </c>
    </row>
    <row r="8" spans="1:2" x14ac:dyDescent="0.25">
      <c r="A8" s="22">
        <v>46030</v>
      </c>
      <c r="B8" s="17">
        <v>119934.57</v>
      </c>
    </row>
    <row r="9" spans="1:2" x14ac:dyDescent="0.25">
      <c r="A9" s="23" t="s">
        <v>213</v>
      </c>
      <c r="B9" s="17">
        <v>119934.57</v>
      </c>
    </row>
    <row r="10" spans="1:2" x14ac:dyDescent="0.25">
      <c r="A10" s="22">
        <v>46031</v>
      </c>
      <c r="B10" s="17">
        <v>228332.32</v>
      </c>
    </row>
    <row r="11" spans="1:2" x14ac:dyDescent="0.25">
      <c r="A11" s="23" t="s">
        <v>213</v>
      </c>
      <c r="B11" s="17">
        <v>228332.32</v>
      </c>
    </row>
    <row r="12" spans="1:2" x14ac:dyDescent="0.25">
      <c r="A12" s="22">
        <v>46032</v>
      </c>
      <c r="B12" s="17">
        <v>10601.94</v>
      </c>
    </row>
    <row r="13" spans="1:2" x14ac:dyDescent="0.25">
      <c r="A13" s="23" t="s">
        <v>213</v>
      </c>
      <c r="B13" s="17">
        <v>10601.94</v>
      </c>
    </row>
    <row r="14" spans="1:2" x14ac:dyDescent="0.25">
      <c r="A14" s="22">
        <v>46036</v>
      </c>
      <c r="B14" s="17">
        <v>258382.15</v>
      </c>
    </row>
    <row r="15" spans="1:2" x14ac:dyDescent="0.25">
      <c r="A15" s="23" t="s">
        <v>213</v>
      </c>
      <c r="B15" s="17">
        <v>258382.15</v>
      </c>
    </row>
    <row r="16" spans="1:2" x14ac:dyDescent="0.25">
      <c r="A16" s="22">
        <v>46037</v>
      </c>
      <c r="B16" s="17">
        <v>37629.42</v>
      </c>
    </row>
    <row r="17" spans="1:2" x14ac:dyDescent="0.25">
      <c r="A17" s="23" t="s">
        <v>213</v>
      </c>
      <c r="B17" s="17">
        <v>37629.42</v>
      </c>
    </row>
    <row r="18" spans="1:2" x14ac:dyDescent="0.25">
      <c r="A18" s="22">
        <v>46044</v>
      </c>
      <c r="B18" s="17">
        <v>171087.6</v>
      </c>
    </row>
    <row r="19" spans="1:2" x14ac:dyDescent="0.25">
      <c r="A19" s="23" t="s">
        <v>213</v>
      </c>
      <c r="B19" s="17">
        <v>171087.6</v>
      </c>
    </row>
    <row r="20" spans="1:2" x14ac:dyDescent="0.25">
      <c r="A20" s="22">
        <v>46046</v>
      </c>
      <c r="B20" s="17">
        <v>225394.30000000002</v>
      </c>
    </row>
    <row r="21" spans="1:2" x14ac:dyDescent="0.25">
      <c r="A21" s="23" t="s">
        <v>213</v>
      </c>
      <c r="B21" s="17">
        <v>225394.30000000002</v>
      </c>
    </row>
    <row r="22" spans="1:2" x14ac:dyDescent="0.25">
      <c r="A22" s="22">
        <v>46047</v>
      </c>
      <c r="B22" s="17">
        <v>3821.4</v>
      </c>
    </row>
    <row r="23" spans="1:2" x14ac:dyDescent="0.25">
      <c r="A23" s="23" t="s">
        <v>213</v>
      </c>
      <c r="B23" s="17">
        <v>3821.4</v>
      </c>
    </row>
    <row r="24" spans="1:2" x14ac:dyDescent="0.25">
      <c r="A24" s="22">
        <v>46048</v>
      </c>
      <c r="B24" s="17">
        <v>17839</v>
      </c>
    </row>
    <row r="25" spans="1:2" x14ac:dyDescent="0.25">
      <c r="A25" s="23" t="s">
        <v>213</v>
      </c>
      <c r="B25" s="17">
        <v>17839</v>
      </c>
    </row>
    <row r="26" spans="1:2" x14ac:dyDescent="0.25">
      <c r="A26" s="22">
        <v>46054</v>
      </c>
      <c r="B26" s="17">
        <v>30344.43</v>
      </c>
    </row>
    <row r="27" spans="1:2" x14ac:dyDescent="0.25">
      <c r="A27" s="23" t="s">
        <v>214</v>
      </c>
      <c r="B27" s="17">
        <v>30344.43</v>
      </c>
    </row>
    <row r="28" spans="1:2" x14ac:dyDescent="0.25">
      <c r="A28" s="22">
        <v>46056</v>
      </c>
      <c r="B28" s="17">
        <v>165628.59</v>
      </c>
    </row>
    <row r="29" spans="1:2" x14ac:dyDescent="0.25">
      <c r="A29" s="23" t="s">
        <v>214</v>
      </c>
      <c r="B29" s="17">
        <v>165628.59</v>
      </c>
    </row>
    <row r="30" spans="1:2" x14ac:dyDescent="0.25">
      <c r="A30" s="22">
        <v>46058</v>
      </c>
      <c r="B30" s="17">
        <v>22519.64</v>
      </c>
    </row>
    <row r="31" spans="1:2" x14ac:dyDescent="0.25">
      <c r="A31" s="23" t="s">
        <v>214</v>
      </c>
      <c r="B31" s="17">
        <v>22519.64</v>
      </c>
    </row>
    <row r="32" spans="1:2" x14ac:dyDescent="0.25">
      <c r="A32" s="22">
        <v>46059</v>
      </c>
      <c r="B32" s="17">
        <v>529984.80000000005</v>
      </c>
    </row>
    <row r="33" spans="1:2" x14ac:dyDescent="0.25">
      <c r="A33" s="23" t="s">
        <v>214</v>
      </c>
      <c r="B33" s="17">
        <v>529984.80000000005</v>
      </c>
    </row>
    <row r="34" spans="1:2" x14ac:dyDescent="0.25">
      <c r="A34" s="22">
        <v>46061</v>
      </c>
      <c r="B34" s="17">
        <v>1098.06</v>
      </c>
    </row>
    <row r="35" spans="1:2" x14ac:dyDescent="0.25">
      <c r="A35" s="23" t="s">
        <v>214</v>
      </c>
      <c r="B35" s="17">
        <v>1098.06</v>
      </c>
    </row>
    <row r="36" spans="1:2" x14ac:dyDescent="0.25">
      <c r="A36" s="22">
        <v>46062</v>
      </c>
      <c r="B36" s="17">
        <v>338353.96</v>
      </c>
    </row>
    <row r="37" spans="1:2" x14ac:dyDescent="0.25">
      <c r="A37" s="23" t="s">
        <v>214</v>
      </c>
      <c r="B37" s="17">
        <v>338353.96</v>
      </c>
    </row>
    <row r="38" spans="1:2" x14ac:dyDescent="0.25">
      <c r="A38" s="22">
        <v>46064</v>
      </c>
      <c r="B38" s="17">
        <v>203959.41</v>
      </c>
    </row>
    <row r="39" spans="1:2" x14ac:dyDescent="0.25">
      <c r="A39" s="23" t="s">
        <v>214</v>
      </c>
      <c r="B39" s="17">
        <v>203959.41</v>
      </c>
    </row>
    <row r="40" spans="1:2" x14ac:dyDescent="0.25">
      <c r="A40" s="22">
        <v>46065</v>
      </c>
      <c r="B40" s="17">
        <v>395159.32</v>
      </c>
    </row>
    <row r="41" spans="1:2" x14ac:dyDescent="0.25">
      <c r="A41" s="23" t="s">
        <v>214</v>
      </c>
      <c r="B41" s="17">
        <v>395159.32</v>
      </c>
    </row>
    <row r="42" spans="1:2" x14ac:dyDescent="0.25">
      <c r="A42" s="22">
        <v>46067</v>
      </c>
      <c r="B42" s="17">
        <v>356710.70999999996</v>
      </c>
    </row>
    <row r="43" spans="1:2" x14ac:dyDescent="0.25">
      <c r="A43" s="23" t="s">
        <v>214</v>
      </c>
      <c r="B43" s="17">
        <v>356710.70999999996</v>
      </c>
    </row>
    <row r="44" spans="1:2" x14ac:dyDescent="0.25">
      <c r="A44" s="22">
        <v>46072</v>
      </c>
      <c r="B44" s="17">
        <v>7484</v>
      </c>
    </row>
    <row r="45" spans="1:2" x14ac:dyDescent="0.25">
      <c r="A45" s="23" t="s">
        <v>214</v>
      </c>
      <c r="B45" s="17">
        <v>7484</v>
      </c>
    </row>
    <row r="46" spans="1:2" x14ac:dyDescent="0.25">
      <c r="A46" s="22">
        <v>46073</v>
      </c>
      <c r="B46" s="17">
        <v>24829.42</v>
      </c>
    </row>
    <row r="47" spans="1:2" x14ac:dyDescent="0.25">
      <c r="A47" s="23" t="s">
        <v>214</v>
      </c>
      <c r="B47" s="17">
        <v>24829.42</v>
      </c>
    </row>
    <row r="48" spans="1:2" x14ac:dyDescent="0.25">
      <c r="A48" s="22">
        <v>46076</v>
      </c>
      <c r="B48" s="17">
        <v>74672.149999999994</v>
      </c>
    </row>
    <row r="49" spans="1:2" x14ac:dyDescent="0.25">
      <c r="A49" s="23" t="s">
        <v>214</v>
      </c>
      <c r="B49" s="17">
        <v>74672.149999999994</v>
      </c>
    </row>
    <row r="50" spans="1:2" x14ac:dyDescent="0.25">
      <c r="A50" s="22">
        <v>46077</v>
      </c>
      <c r="B50" s="17">
        <v>129673.86</v>
      </c>
    </row>
    <row r="51" spans="1:2" x14ac:dyDescent="0.25">
      <c r="A51" s="23" t="s">
        <v>214</v>
      </c>
      <c r="B51" s="17">
        <v>129673.86</v>
      </c>
    </row>
    <row r="52" spans="1:2" x14ac:dyDescent="0.25">
      <c r="A52" s="22">
        <v>46079</v>
      </c>
      <c r="B52" s="17">
        <v>180504.8</v>
      </c>
    </row>
    <row r="53" spans="1:2" x14ac:dyDescent="0.25">
      <c r="A53" s="23" t="s">
        <v>214</v>
      </c>
      <c r="B53" s="17">
        <v>180504.8</v>
      </c>
    </row>
    <row r="54" spans="1:2" x14ac:dyDescent="0.25">
      <c r="A54" s="22">
        <v>46085</v>
      </c>
      <c r="B54" s="17">
        <v>62770.37</v>
      </c>
    </row>
    <row r="55" spans="1:2" x14ac:dyDescent="0.25">
      <c r="A55" s="23" t="s">
        <v>215</v>
      </c>
      <c r="B55" s="17">
        <v>62770.37</v>
      </c>
    </row>
    <row r="56" spans="1:2" x14ac:dyDescent="0.25">
      <c r="A56" s="22">
        <v>46086</v>
      </c>
      <c r="B56" s="17">
        <v>7775.44</v>
      </c>
    </row>
    <row r="57" spans="1:2" x14ac:dyDescent="0.25">
      <c r="A57" s="23" t="s">
        <v>215</v>
      </c>
      <c r="B57" s="17">
        <v>7775.44</v>
      </c>
    </row>
    <row r="58" spans="1:2" x14ac:dyDescent="0.25">
      <c r="A58" s="22">
        <v>46087</v>
      </c>
      <c r="B58" s="17">
        <v>63513.75</v>
      </c>
    </row>
    <row r="59" spans="1:2" x14ac:dyDescent="0.25">
      <c r="A59" s="23" t="s">
        <v>215</v>
      </c>
      <c r="B59" s="17">
        <v>63513.75</v>
      </c>
    </row>
    <row r="60" spans="1:2" x14ac:dyDescent="0.25">
      <c r="A60" s="22">
        <v>46088</v>
      </c>
      <c r="B60" s="17">
        <v>1786.02</v>
      </c>
    </row>
    <row r="61" spans="1:2" x14ac:dyDescent="0.25">
      <c r="A61" s="23" t="s">
        <v>215</v>
      </c>
      <c r="B61" s="17">
        <v>1786.02</v>
      </c>
    </row>
    <row r="62" spans="1:2" x14ac:dyDescent="0.25">
      <c r="A62" s="22">
        <v>46089</v>
      </c>
      <c r="B62" s="17">
        <v>339113.44</v>
      </c>
    </row>
    <row r="63" spans="1:2" x14ac:dyDescent="0.25">
      <c r="A63" s="23" t="s">
        <v>215</v>
      </c>
      <c r="B63" s="17">
        <v>339113.44</v>
      </c>
    </row>
    <row r="64" spans="1:2" x14ac:dyDescent="0.25">
      <c r="A64" s="22">
        <v>46091</v>
      </c>
      <c r="B64" s="17">
        <v>55278.44</v>
      </c>
    </row>
    <row r="65" spans="1:2" x14ac:dyDescent="0.25">
      <c r="A65" s="23" t="s">
        <v>215</v>
      </c>
      <c r="B65" s="17">
        <v>55278.44</v>
      </c>
    </row>
    <row r="66" spans="1:2" x14ac:dyDescent="0.25">
      <c r="A66" s="22">
        <v>46093</v>
      </c>
      <c r="B66" s="17">
        <v>553901.88</v>
      </c>
    </row>
    <row r="67" spans="1:2" x14ac:dyDescent="0.25">
      <c r="A67" s="23" t="s">
        <v>215</v>
      </c>
      <c r="B67" s="17">
        <v>553901.88</v>
      </c>
    </row>
    <row r="68" spans="1:2" x14ac:dyDescent="0.25">
      <c r="A68" s="22">
        <v>46094</v>
      </c>
      <c r="B68" s="17">
        <v>4911.04</v>
      </c>
    </row>
    <row r="69" spans="1:2" x14ac:dyDescent="0.25">
      <c r="A69" s="23" t="s">
        <v>215</v>
      </c>
      <c r="B69" s="17">
        <v>4911.04</v>
      </c>
    </row>
    <row r="70" spans="1:2" x14ac:dyDescent="0.25">
      <c r="A70" s="22">
        <v>46099</v>
      </c>
      <c r="B70" s="17">
        <v>182959.92</v>
      </c>
    </row>
    <row r="71" spans="1:2" x14ac:dyDescent="0.25">
      <c r="A71" s="23" t="s">
        <v>215</v>
      </c>
      <c r="B71" s="17">
        <v>182959.92</v>
      </c>
    </row>
    <row r="72" spans="1:2" x14ac:dyDescent="0.25">
      <c r="A72" s="22">
        <v>46101</v>
      </c>
      <c r="B72" s="17">
        <v>2251.2600000000002</v>
      </c>
    </row>
    <row r="73" spans="1:2" x14ac:dyDescent="0.25">
      <c r="A73" s="23" t="s">
        <v>215</v>
      </c>
      <c r="B73" s="17">
        <v>2251.2600000000002</v>
      </c>
    </row>
    <row r="74" spans="1:2" x14ac:dyDescent="0.25">
      <c r="A74" s="22">
        <v>46103</v>
      </c>
      <c r="B74" s="17">
        <v>28961.46</v>
      </c>
    </row>
    <row r="75" spans="1:2" x14ac:dyDescent="0.25">
      <c r="A75" s="23" t="s">
        <v>215</v>
      </c>
      <c r="B75" s="17">
        <v>28961.46</v>
      </c>
    </row>
    <row r="76" spans="1:2" x14ac:dyDescent="0.25">
      <c r="A76" s="22">
        <v>46105</v>
      </c>
      <c r="B76" s="17">
        <v>5447.85</v>
      </c>
    </row>
    <row r="77" spans="1:2" x14ac:dyDescent="0.25">
      <c r="A77" s="22">
        <v>46106</v>
      </c>
      <c r="B77" s="17">
        <v>122953.41</v>
      </c>
    </row>
    <row r="78" spans="1:2" x14ac:dyDescent="0.25">
      <c r="A78" s="22">
        <v>46107</v>
      </c>
      <c r="B78" s="17">
        <v>11761.52</v>
      </c>
    </row>
    <row r="79" spans="1:2" x14ac:dyDescent="0.25">
      <c r="A79" s="22">
        <v>46108</v>
      </c>
      <c r="B79" s="17">
        <v>249886.81</v>
      </c>
    </row>
    <row r="80" spans="1:2" x14ac:dyDescent="0.25">
      <c r="A80" s="22">
        <v>46109</v>
      </c>
      <c r="B80" s="17">
        <v>26471.56</v>
      </c>
    </row>
    <row r="81" spans="1:2" x14ac:dyDescent="0.25">
      <c r="A81" s="22">
        <v>46110</v>
      </c>
      <c r="B81" s="17">
        <v>81825.600000000006</v>
      </c>
    </row>
    <row r="82" spans="1:2" x14ac:dyDescent="0.25">
      <c r="A82" s="22">
        <v>46112</v>
      </c>
      <c r="B82" s="17">
        <v>848367.8</v>
      </c>
    </row>
    <row r="83" spans="1:2" x14ac:dyDescent="0.25">
      <c r="A83" s="22">
        <v>46113</v>
      </c>
      <c r="B83" s="17">
        <v>4552.8500000000004</v>
      </c>
    </row>
    <row r="84" spans="1:2" x14ac:dyDescent="0.25">
      <c r="A84" s="22">
        <v>46114</v>
      </c>
      <c r="B84" s="17">
        <v>11578.5</v>
      </c>
    </row>
    <row r="85" spans="1:2" x14ac:dyDescent="0.25">
      <c r="A85" s="22">
        <v>46116</v>
      </c>
      <c r="B85" s="17">
        <v>137449.34</v>
      </c>
    </row>
    <row r="86" spans="1:2" x14ac:dyDescent="0.25">
      <c r="A86" s="22">
        <v>46118</v>
      </c>
      <c r="B86" s="17">
        <v>108165.54</v>
      </c>
    </row>
    <row r="87" spans="1:2" x14ac:dyDescent="0.25">
      <c r="A87" s="22">
        <v>46119</v>
      </c>
      <c r="B87" s="17">
        <v>2614.87</v>
      </c>
    </row>
    <row r="88" spans="1:2" x14ac:dyDescent="0.25">
      <c r="A88" s="22">
        <v>46120</v>
      </c>
      <c r="B88" s="17">
        <v>411765.83999999997</v>
      </c>
    </row>
    <row r="89" spans="1:2" x14ac:dyDescent="0.25">
      <c r="A89" s="22">
        <v>46122</v>
      </c>
      <c r="B89" s="17">
        <v>51097.36</v>
      </c>
    </row>
    <row r="90" spans="1:2" x14ac:dyDescent="0.25">
      <c r="A90" s="22">
        <v>46124</v>
      </c>
      <c r="B90" s="17">
        <v>203685.34</v>
      </c>
    </row>
    <row r="91" spans="1:2" x14ac:dyDescent="0.25">
      <c r="A91" s="22">
        <v>46125</v>
      </c>
      <c r="B91" s="17">
        <v>1375.86</v>
      </c>
    </row>
    <row r="92" spans="1:2" x14ac:dyDescent="0.25">
      <c r="A92" s="22">
        <v>46126</v>
      </c>
      <c r="B92" s="17">
        <v>191854.35</v>
      </c>
    </row>
    <row r="93" spans="1:2" x14ac:dyDescent="0.25">
      <c r="A93" s="22">
        <v>46127</v>
      </c>
      <c r="B93" s="17">
        <v>133058.94</v>
      </c>
    </row>
    <row r="94" spans="1:2" x14ac:dyDescent="0.25">
      <c r="A94" s="22">
        <v>46129</v>
      </c>
      <c r="B94" s="17">
        <v>160492.15</v>
      </c>
    </row>
    <row r="95" spans="1:2" x14ac:dyDescent="0.25">
      <c r="A95" s="22">
        <v>46130</v>
      </c>
      <c r="B95" s="17">
        <v>22873.759999999998</v>
      </c>
    </row>
    <row r="96" spans="1:2" x14ac:dyDescent="0.25">
      <c r="A96" s="22">
        <v>46132</v>
      </c>
      <c r="B96" s="17">
        <v>75729.760000000009</v>
      </c>
    </row>
    <row r="97" spans="1:2" x14ac:dyDescent="0.25">
      <c r="A97" s="22">
        <v>46133</v>
      </c>
      <c r="B97" s="17">
        <v>3783.56</v>
      </c>
    </row>
    <row r="98" spans="1:2" x14ac:dyDescent="0.25">
      <c r="A98" s="22">
        <v>46136</v>
      </c>
      <c r="B98" s="17">
        <v>295734.55</v>
      </c>
    </row>
    <row r="99" spans="1:2" x14ac:dyDescent="0.25">
      <c r="A99" s="22">
        <v>46139</v>
      </c>
      <c r="B99" s="17">
        <v>89421.14</v>
      </c>
    </row>
    <row r="100" spans="1:2" x14ac:dyDescent="0.25">
      <c r="A100" s="22">
        <v>46147</v>
      </c>
      <c r="B100" s="17">
        <v>61116.08</v>
      </c>
    </row>
    <row r="101" spans="1:2" x14ac:dyDescent="0.25">
      <c r="A101" s="22">
        <v>46149</v>
      </c>
      <c r="B101" s="17">
        <v>3958.08</v>
      </c>
    </row>
    <row r="102" spans="1:2" x14ac:dyDescent="0.25">
      <c r="A102" s="22">
        <v>46151</v>
      </c>
      <c r="B102" s="17">
        <v>2105.5500000000002</v>
      </c>
    </row>
    <row r="103" spans="1:2" x14ac:dyDescent="0.25">
      <c r="A103" s="22">
        <v>46152</v>
      </c>
      <c r="B103" s="17">
        <v>17637.5</v>
      </c>
    </row>
    <row r="104" spans="1:2" x14ac:dyDescent="0.25">
      <c r="A104" s="22">
        <v>46156</v>
      </c>
      <c r="B104" s="17">
        <v>2453.9699999999998</v>
      </c>
    </row>
    <row r="105" spans="1:2" x14ac:dyDescent="0.25">
      <c r="A105" s="22">
        <v>46157</v>
      </c>
      <c r="B105" s="17">
        <v>9136.1200000000008</v>
      </c>
    </row>
    <row r="106" spans="1:2" x14ac:dyDescent="0.25">
      <c r="A106" s="22">
        <v>46158</v>
      </c>
      <c r="B106" s="17">
        <v>895821.95</v>
      </c>
    </row>
    <row r="107" spans="1:2" x14ac:dyDescent="0.25">
      <c r="A107" s="22">
        <v>46159</v>
      </c>
      <c r="B107" s="17">
        <v>18249.810000000001</v>
      </c>
    </row>
    <row r="108" spans="1:2" x14ac:dyDescent="0.25">
      <c r="A108" s="22">
        <v>46160</v>
      </c>
      <c r="B108" s="17">
        <v>236506.26</v>
      </c>
    </row>
    <row r="109" spans="1:2" x14ac:dyDescent="0.25">
      <c r="A109" s="22">
        <v>46163</v>
      </c>
      <c r="B109" s="17">
        <v>889.76</v>
      </c>
    </row>
    <row r="110" spans="1:2" x14ac:dyDescent="0.25">
      <c r="A110" s="22">
        <v>46164</v>
      </c>
      <c r="B110" s="17">
        <v>266707.18</v>
      </c>
    </row>
    <row r="111" spans="1:2" x14ac:dyDescent="0.25">
      <c r="A111" s="22">
        <v>46165</v>
      </c>
      <c r="B111" s="17">
        <v>90085.759999999995</v>
      </c>
    </row>
    <row r="112" spans="1:2" x14ac:dyDescent="0.25">
      <c r="A112" s="22">
        <v>46166</v>
      </c>
      <c r="B112" s="17">
        <v>345236.04</v>
      </c>
    </row>
    <row r="113" spans="1:2" x14ac:dyDescent="0.25">
      <c r="A113" s="22">
        <v>46167</v>
      </c>
      <c r="B113" s="17">
        <v>512305.44</v>
      </c>
    </row>
    <row r="114" spans="1:2" x14ac:dyDescent="0.25">
      <c r="A114" s="22">
        <v>46170</v>
      </c>
      <c r="B114" s="17">
        <v>5204.32</v>
      </c>
    </row>
    <row r="115" spans="1:2" x14ac:dyDescent="0.25">
      <c r="A115" s="22">
        <v>46175</v>
      </c>
      <c r="B115" s="17">
        <v>312797.26</v>
      </c>
    </row>
    <row r="116" spans="1:2" x14ac:dyDescent="0.25">
      <c r="A116" s="22">
        <v>46176</v>
      </c>
      <c r="B116" s="17">
        <v>3636.92</v>
      </c>
    </row>
    <row r="117" spans="1:2" x14ac:dyDescent="0.25">
      <c r="A117" s="22">
        <v>46177</v>
      </c>
      <c r="B117" s="17">
        <v>1102.49</v>
      </c>
    </row>
    <row r="118" spans="1:2" x14ac:dyDescent="0.25">
      <c r="A118" s="22">
        <v>46179</v>
      </c>
      <c r="B118" s="17">
        <v>27735.48</v>
      </c>
    </row>
    <row r="119" spans="1:2" x14ac:dyDescent="0.25">
      <c r="A119" s="22">
        <v>46182</v>
      </c>
      <c r="B119" s="17">
        <v>200384.96</v>
      </c>
    </row>
    <row r="120" spans="1:2" x14ac:dyDescent="0.25">
      <c r="A120" s="22">
        <v>46184</v>
      </c>
      <c r="B120" s="17">
        <v>448420.65</v>
      </c>
    </row>
    <row r="121" spans="1:2" x14ac:dyDescent="0.25">
      <c r="A121" s="22">
        <v>46185</v>
      </c>
      <c r="B121" s="17">
        <v>1966.23</v>
      </c>
    </row>
    <row r="122" spans="1:2" x14ac:dyDescent="0.25">
      <c r="A122" s="22">
        <v>46188</v>
      </c>
      <c r="B122" s="17">
        <v>3825.48</v>
      </c>
    </row>
    <row r="123" spans="1:2" x14ac:dyDescent="0.25">
      <c r="A123" s="22">
        <v>46189</v>
      </c>
      <c r="B123" s="17">
        <v>3073.52</v>
      </c>
    </row>
    <row r="124" spans="1:2" x14ac:dyDescent="0.25">
      <c r="A124" s="22">
        <v>46191</v>
      </c>
      <c r="B124" s="17">
        <v>2538.96</v>
      </c>
    </row>
    <row r="125" spans="1:2" x14ac:dyDescent="0.25">
      <c r="A125" s="22">
        <v>46192</v>
      </c>
      <c r="B125" s="17">
        <v>7805.94</v>
      </c>
    </row>
    <row r="126" spans="1:2" x14ac:dyDescent="0.25">
      <c r="A126" s="22">
        <v>46194</v>
      </c>
      <c r="B126" s="17">
        <v>469790.75999999995</v>
      </c>
    </row>
    <row r="127" spans="1:2" x14ac:dyDescent="0.25">
      <c r="A127" s="22">
        <v>46195</v>
      </c>
      <c r="B127" s="17">
        <v>3626.34</v>
      </c>
    </row>
    <row r="128" spans="1:2" x14ac:dyDescent="0.25">
      <c r="A128" s="22">
        <v>46196</v>
      </c>
      <c r="B128" s="17">
        <v>71772.649999999994</v>
      </c>
    </row>
    <row r="129" spans="1:2" x14ac:dyDescent="0.25">
      <c r="A129" s="22">
        <v>46198</v>
      </c>
      <c r="B129" s="17">
        <v>110516.75</v>
      </c>
    </row>
    <row r="130" spans="1:2" x14ac:dyDescent="0.25">
      <c r="A130" s="22">
        <v>46202</v>
      </c>
      <c r="B130" s="17">
        <v>9248.7199999999993</v>
      </c>
    </row>
    <row r="131" spans="1:2" x14ac:dyDescent="0.25">
      <c r="A131" s="22">
        <v>46203</v>
      </c>
      <c r="B131" s="17">
        <v>412881.64</v>
      </c>
    </row>
    <row r="132" spans="1:2" x14ac:dyDescent="0.25">
      <c r="A132" s="22">
        <v>46204</v>
      </c>
      <c r="B132" s="17">
        <v>169474.32</v>
      </c>
    </row>
    <row r="133" spans="1:2" x14ac:dyDescent="0.25">
      <c r="A133" s="22">
        <v>46207</v>
      </c>
      <c r="B133" s="17">
        <v>5953.24</v>
      </c>
    </row>
    <row r="134" spans="1:2" x14ac:dyDescent="0.25">
      <c r="A134" s="22">
        <v>46211</v>
      </c>
      <c r="B134" s="17">
        <v>1215396.69</v>
      </c>
    </row>
    <row r="135" spans="1:2" x14ac:dyDescent="0.25">
      <c r="A135" s="22">
        <v>46214</v>
      </c>
      <c r="B135" s="17">
        <v>24623.43</v>
      </c>
    </row>
    <row r="136" spans="1:2" x14ac:dyDescent="0.25">
      <c r="A136" s="22">
        <v>46215</v>
      </c>
      <c r="B136" s="17">
        <v>164186.88</v>
      </c>
    </row>
    <row r="137" spans="1:2" x14ac:dyDescent="0.25">
      <c r="A137" s="22">
        <v>46217</v>
      </c>
      <c r="B137" s="17">
        <v>43948.02</v>
      </c>
    </row>
    <row r="138" spans="1:2" x14ac:dyDescent="0.25">
      <c r="A138" s="22">
        <v>46219</v>
      </c>
      <c r="B138" s="17">
        <v>1163114.28</v>
      </c>
    </row>
    <row r="139" spans="1:2" x14ac:dyDescent="0.25">
      <c r="A139" s="22">
        <v>46220</v>
      </c>
      <c r="B139" s="17">
        <v>35642.519999999997</v>
      </c>
    </row>
    <row r="140" spans="1:2" x14ac:dyDescent="0.25">
      <c r="A140" s="22">
        <v>46224</v>
      </c>
      <c r="B140" s="17">
        <v>12231.77</v>
      </c>
    </row>
    <row r="141" spans="1:2" x14ac:dyDescent="0.25">
      <c r="A141" s="22">
        <v>46225</v>
      </c>
      <c r="B141" s="17">
        <v>6816.12</v>
      </c>
    </row>
    <row r="142" spans="1:2" x14ac:dyDescent="0.25">
      <c r="A142" s="22">
        <v>46226</v>
      </c>
      <c r="B142" s="17">
        <v>61709.94</v>
      </c>
    </row>
    <row r="143" spans="1:2" x14ac:dyDescent="0.25">
      <c r="A143" s="22">
        <v>46228</v>
      </c>
      <c r="B143" s="17">
        <v>43400.24</v>
      </c>
    </row>
    <row r="144" spans="1:2" x14ac:dyDescent="0.25">
      <c r="A144" s="22">
        <v>46229</v>
      </c>
      <c r="B144" s="17">
        <v>2631.3</v>
      </c>
    </row>
    <row r="145" spans="1:2" x14ac:dyDescent="0.25">
      <c r="A145" s="22">
        <v>46230</v>
      </c>
      <c r="B145" s="17">
        <v>661905.28</v>
      </c>
    </row>
    <row r="146" spans="1:2" x14ac:dyDescent="0.25">
      <c r="A146" s="22">
        <v>46233</v>
      </c>
      <c r="B146" s="17">
        <v>45647.7</v>
      </c>
    </row>
    <row r="147" spans="1:2" x14ac:dyDescent="0.25">
      <c r="A147" s="22">
        <v>46235</v>
      </c>
      <c r="B147" s="17">
        <v>12913.23</v>
      </c>
    </row>
    <row r="148" spans="1:2" x14ac:dyDescent="0.25">
      <c r="A148" s="22">
        <v>46240</v>
      </c>
      <c r="B148" s="17">
        <v>154763.67000000001</v>
      </c>
    </row>
    <row r="149" spans="1:2" x14ac:dyDescent="0.25">
      <c r="A149" s="22">
        <v>46242</v>
      </c>
      <c r="B149" s="17">
        <v>36962.699999999997</v>
      </c>
    </row>
    <row r="150" spans="1:2" x14ac:dyDescent="0.25">
      <c r="A150" s="22">
        <v>46244</v>
      </c>
      <c r="B150" s="17">
        <v>256943.32</v>
      </c>
    </row>
    <row r="151" spans="1:2" x14ac:dyDescent="0.25">
      <c r="A151" s="22">
        <v>46245</v>
      </c>
      <c r="B151" s="17">
        <v>37178.199999999997</v>
      </c>
    </row>
    <row r="152" spans="1:2" x14ac:dyDescent="0.25">
      <c r="A152" s="22">
        <v>46247</v>
      </c>
      <c r="B152" s="17">
        <v>1695.95</v>
      </c>
    </row>
    <row r="153" spans="1:2" x14ac:dyDescent="0.25">
      <c r="A153" s="22">
        <v>46248</v>
      </c>
      <c r="B153" s="17">
        <v>39363.599999999999</v>
      </c>
    </row>
    <row r="154" spans="1:2" x14ac:dyDescent="0.25">
      <c r="A154" s="22">
        <v>46251</v>
      </c>
      <c r="B154" s="17">
        <v>4756.33</v>
      </c>
    </row>
    <row r="155" spans="1:2" x14ac:dyDescent="0.25">
      <c r="A155" s="22">
        <v>46253</v>
      </c>
      <c r="B155" s="17">
        <v>3959.52</v>
      </c>
    </row>
    <row r="156" spans="1:2" x14ac:dyDescent="0.25">
      <c r="A156" s="22" t="s">
        <v>210</v>
      </c>
      <c r="B156" s="17">
        <v>17488334.749999996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opLeftCell="A2" workbookViewId="0">
      <selection activeCell="D10" sqref="D10"/>
    </sheetView>
  </sheetViews>
  <sheetFormatPr defaultRowHeight="15" x14ac:dyDescent="0.25"/>
  <cols>
    <col min="1" max="1" width="10.5703125" customWidth="1"/>
    <col min="2" max="2" width="22.7109375" customWidth="1"/>
    <col min="3" max="3" width="12.85546875" customWidth="1"/>
    <col min="4" max="4" width="17.42578125" customWidth="1"/>
    <col min="5" max="5" width="9.28515625" customWidth="1"/>
    <col min="6" max="6" width="11" customWidth="1"/>
    <col min="7" max="7" width="10" customWidth="1"/>
    <col min="8" max="8" width="10.85546875" customWidth="1"/>
    <col min="9" max="9" width="11.85546875" customWidth="1"/>
    <col min="11" max="11" width="15.7109375" customWidth="1"/>
    <col min="12" max="12" width="18.5703125" customWidth="1"/>
  </cols>
  <sheetData>
    <row r="1" spans="1:13" x14ac:dyDescent="0.25">
      <c r="A1" s="2" t="s">
        <v>0</v>
      </c>
      <c r="B1" s="3" t="s">
        <v>1</v>
      </c>
      <c r="C1" s="6" t="s">
        <v>211</v>
      </c>
      <c r="D1" s="4" t="s">
        <v>2</v>
      </c>
      <c r="E1" s="4" t="s">
        <v>3</v>
      </c>
      <c r="F1" s="4" t="s">
        <v>4</v>
      </c>
      <c r="G1" s="4" t="s">
        <v>5</v>
      </c>
      <c r="H1" s="2" t="s">
        <v>6</v>
      </c>
      <c r="I1" s="5" t="s">
        <v>7</v>
      </c>
      <c r="J1" s="5" t="s">
        <v>8</v>
      </c>
      <c r="K1" s="7" t="s">
        <v>204</v>
      </c>
      <c r="L1" s="5" t="s">
        <v>9</v>
      </c>
      <c r="M1" s="5" t="s">
        <v>10</v>
      </c>
    </row>
    <row r="2" spans="1:13" x14ac:dyDescent="0.25">
      <c r="A2" t="s">
        <v>11</v>
      </c>
      <c r="B2" s="1">
        <v>46211</v>
      </c>
      <c r="C2" t="str">
        <f t="shared" ref="C2:C33" si="0">TEXT(B2,"mmmm")</f>
        <v>July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171901.06</v>
      </c>
      <c r="J2">
        <v>1031406.36</v>
      </c>
      <c r="K2">
        <f t="shared" ref="K2:K33" si="1">H2*I2</f>
        <v>1031406.36</v>
      </c>
      <c r="L2">
        <v>128556.7</v>
      </c>
      <c r="M2" t="s">
        <v>16</v>
      </c>
    </row>
    <row r="3" spans="1:13" x14ac:dyDescent="0.25">
      <c r="A3" t="s">
        <v>17</v>
      </c>
      <c r="B3" s="1">
        <v>46177</v>
      </c>
      <c r="C3" t="str">
        <f t="shared" si="0"/>
        <v>June</v>
      </c>
      <c r="D3" t="s">
        <v>18</v>
      </c>
      <c r="E3" t="s">
        <v>13</v>
      </c>
      <c r="F3" t="s">
        <v>19</v>
      </c>
      <c r="G3" t="s">
        <v>20</v>
      </c>
      <c r="H3">
        <v>1</v>
      </c>
      <c r="I3">
        <v>1102.49</v>
      </c>
      <c r="J3">
        <v>1102.49</v>
      </c>
      <c r="K3">
        <f t="shared" si="1"/>
        <v>1102.49</v>
      </c>
      <c r="L3">
        <v>139.5</v>
      </c>
      <c r="M3" t="s">
        <v>21</v>
      </c>
    </row>
    <row r="4" spans="1:13" x14ac:dyDescent="0.25">
      <c r="A4" t="s">
        <v>22</v>
      </c>
      <c r="B4" s="1">
        <v>46024</v>
      </c>
      <c r="C4" t="str">
        <f t="shared" si="0"/>
        <v>January</v>
      </c>
      <c r="D4" t="s">
        <v>23</v>
      </c>
      <c r="E4" t="s">
        <v>24</v>
      </c>
      <c r="F4" t="s">
        <v>19</v>
      </c>
      <c r="G4" t="s">
        <v>25</v>
      </c>
      <c r="H4">
        <v>4</v>
      </c>
      <c r="I4">
        <v>916.07</v>
      </c>
      <c r="J4">
        <v>3664.28</v>
      </c>
      <c r="K4">
        <f t="shared" si="1"/>
        <v>3664.28</v>
      </c>
      <c r="L4">
        <v>886.34</v>
      </c>
      <c r="M4" t="s">
        <v>26</v>
      </c>
    </row>
    <row r="5" spans="1:13" x14ac:dyDescent="0.25">
      <c r="A5" t="s">
        <v>27</v>
      </c>
      <c r="B5" s="1">
        <v>46046</v>
      </c>
      <c r="C5" t="str">
        <f t="shared" si="0"/>
        <v>January</v>
      </c>
      <c r="D5" t="s">
        <v>28</v>
      </c>
      <c r="E5" t="s">
        <v>29</v>
      </c>
      <c r="F5" t="s">
        <v>30</v>
      </c>
      <c r="G5" t="s">
        <v>31</v>
      </c>
      <c r="H5">
        <v>2</v>
      </c>
      <c r="I5">
        <v>7094.38</v>
      </c>
      <c r="J5">
        <v>14188.76</v>
      </c>
      <c r="K5">
        <f t="shared" si="1"/>
        <v>14188.76</v>
      </c>
      <c r="L5">
        <v>2090.27</v>
      </c>
      <c r="M5" t="s">
        <v>26</v>
      </c>
    </row>
    <row r="6" spans="1:13" x14ac:dyDescent="0.25">
      <c r="A6" t="s">
        <v>32</v>
      </c>
      <c r="B6" s="1">
        <v>46119</v>
      </c>
      <c r="C6" t="str">
        <f t="shared" si="0"/>
        <v>April</v>
      </c>
      <c r="D6" t="s">
        <v>12</v>
      </c>
      <c r="E6" t="s">
        <v>13</v>
      </c>
      <c r="F6" t="s">
        <v>30</v>
      </c>
      <c r="G6" t="s">
        <v>33</v>
      </c>
      <c r="H6">
        <v>1</v>
      </c>
      <c r="I6">
        <v>2614.87</v>
      </c>
      <c r="J6">
        <v>2614.87</v>
      </c>
      <c r="K6">
        <f t="shared" si="1"/>
        <v>2614.87</v>
      </c>
      <c r="L6">
        <v>489.62</v>
      </c>
      <c r="M6" t="s">
        <v>26</v>
      </c>
    </row>
    <row r="7" spans="1:13" x14ac:dyDescent="0.25">
      <c r="A7" t="s">
        <v>34</v>
      </c>
      <c r="B7" s="1">
        <v>46220</v>
      </c>
      <c r="C7" t="str">
        <f t="shared" si="0"/>
        <v>July</v>
      </c>
      <c r="D7" t="s">
        <v>35</v>
      </c>
      <c r="E7" t="s">
        <v>29</v>
      </c>
      <c r="F7" t="s">
        <v>30</v>
      </c>
      <c r="G7" t="s">
        <v>31</v>
      </c>
      <c r="H7">
        <v>6</v>
      </c>
      <c r="I7">
        <v>5940.42</v>
      </c>
      <c r="J7">
        <v>35642.519999999997</v>
      </c>
      <c r="K7">
        <f t="shared" si="1"/>
        <v>35642.520000000004</v>
      </c>
      <c r="L7">
        <v>7565.22</v>
      </c>
      <c r="M7" t="s">
        <v>21</v>
      </c>
    </row>
    <row r="8" spans="1:13" x14ac:dyDescent="0.25">
      <c r="A8" t="s">
        <v>36</v>
      </c>
      <c r="B8" s="1">
        <v>46064</v>
      </c>
      <c r="C8" t="str">
        <f t="shared" si="0"/>
        <v>February</v>
      </c>
      <c r="D8" t="s">
        <v>37</v>
      </c>
      <c r="E8" t="s">
        <v>38</v>
      </c>
      <c r="F8" t="s">
        <v>14</v>
      </c>
      <c r="G8" t="s">
        <v>39</v>
      </c>
      <c r="H8">
        <v>3</v>
      </c>
      <c r="I8">
        <v>54487.51</v>
      </c>
      <c r="J8">
        <v>163462.53</v>
      </c>
      <c r="K8">
        <f t="shared" si="1"/>
        <v>163462.53</v>
      </c>
      <c r="L8">
        <v>40346.160000000003</v>
      </c>
      <c r="M8" t="s">
        <v>21</v>
      </c>
    </row>
    <row r="9" spans="1:13" x14ac:dyDescent="0.25">
      <c r="A9" t="s">
        <v>40</v>
      </c>
      <c r="B9" s="1">
        <v>46085</v>
      </c>
      <c r="C9" t="str">
        <f t="shared" si="0"/>
        <v>March</v>
      </c>
      <c r="D9" t="s">
        <v>23</v>
      </c>
      <c r="E9" t="s">
        <v>41</v>
      </c>
      <c r="F9" t="s">
        <v>30</v>
      </c>
      <c r="G9" t="s">
        <v>42</v>
      </c>
      <c r="H9">
        <v>5</v>
      </c>
      <c r="I9">
        <v>12323.95</v>
      </c>
      <c r="J9">
        <v>61619.75</v>
      </c>
      <c r="K9">
        <f t="shared" si="1"/>
        <v>61619.75</v>
      </c>
      <c r="L9">
        <v>11512.29</v>
      </c>
      <c r="M9" t="s">
        <v>43</v>
      </c>
    </row>
    <row r="10" spans="1:13" x14ac:dyDescent="0.25">
      <c r="A10" t="s">
        <v>44</v>
      </c>
      <c r="B10" s="1">
        <v>46037</v>
      </c>
      <c r="C10" t="str">
        <f t="shared" si="0"/>
        <v>January</v>
      </c>
      <c r="D10" t="s">
        <v>45</v>
      </c>
      <c r="E10" t="s">
        <v>46</v>
      </c>
      <c r="F10" t="s">
        <v>30</v>
      </c>
      <c r="G10" t="s">
        <v>31</v>
      </c>
      <c r="H10">
        <v>6</v>
      </c>
      <c r="I10">
        <v>6271.57</v>
      </c>
      <c r="J10">
        <v>37629.42</v>
      </c>
      <c r="K10">
        <f t="shared" si="1"/>
        <v>37629.42</v>
      </c>
      <c r="L10">
        <v>8792.59</v>
      </c>
      <c r="M10" t="s">
        <v>26</v>
      </c>
    </row>
    <row r="11" spans="1:13" x14ac:dyDescent="0.25">
      <c r="A11" t="s">
        <v>47</v>
      </c>
      <c r="B11" s="1">
        <v>46247</v>
      </c>
      <c r="C11" t="str">
        <f t="shared" si="0"/>
        <v>August</v>
      </c>
      <c r="D11" t="s">
        <v>37</v>
      </c>
      <c r="E11" t="s">
        <v>48</v>
      </c>
      <c r="F11" t="s">
        <v>19</v>
      </c>
      <c r="G11" t="s">
        <v>49</v>
      </c>
      <c r="H11">
        <v>1</v>
      </c>
      <c r="I11">
        <v>1695.95</v>
      </c>
      <c r="J11">
        <v>1695.95</v>
      </c>
      <c r="K11">
        <f t="shared" si="1"/>
        <v>1695.95</v>
      </c>
      <c r="L11">
        <v>455.5</v>
      </c>
      <c r="M11" t="s">
        <v>43</v>
      </c>
    </row>
    <row r="12" spans="1:13" x14ac:dyDescent="0.25">
      <c r="A12" t="s">
        <v>50</v>
      </c>
      <c r="B12" s="1">
        <v>46166</v>
      </c>
      <c r="C12" t="str">
        <f t="shared" si="0"/>
        <v>May</v>
      </c>
      <c r="D12" t="s">
        <v>51</v>
      </c>
      <c r="E12" t="s">
        <v>52</v>
      </c>
      <c r="F12" t="s">
        <v>19</v>
      </c>
      <c r="G12" t="s">
        <v>53</v>
      </c>
      <c r="H12">
        <v>2</v>
      </c>
      <c r="I12">
        <v>667.08</v>
      </c>
      <c r="J12">
        <v>1334.16</v>
      </c>
      <c r="K12">
        <f t="shared" si="1"/>
        <v>1334.16</v>
      </c>
      <c r="L12">
        <v>172.54</v>
      </c>
      <c r="M12" t="s">
        <v>43</v>
      </c>
    </row>
    <row r="13" spans="1:13" x14ac:dyDescent="0.25">
      <c r="A13" t="s">
        <v>54</v>
      </c>
      <c r="B13" s="1">
        <v>46149</v>
      </c>
      <c r="C13" t="str">
        <f t="shared" si="0"/>
        <v>May</v>
      </c>
      <c r="D13" t="s">
        <v>12</v>
      </c>
      <c r="E13" t="s">
        <v>46</v>
      </c>
      <c r="F13" t="s">
        <v>19</v>
      </c>
      <c r="G13" t="s">
        <v>49</v>
      </c>
      <c r="H13">
        <v>2</v>
      </c>
      <c r="I13">
        <v>1979.04</v>
      </c>
      <c r="J13">
        <v>3958.08</v>
      </c>
      <c r="K13">
        <f t="shared" si="1"/>
        <v>3958.08</v>
      </c>
      <c r="L13">
        <v>426.15</v>
      </c>
      <c r="M13" t="s">
        <v>16</v>
      </c>
    </row>
    <row r="14" spans="1:13" x14ac:dyDescent="0.25">
      <c r="A14" t="s">
        <v>55</v>
      </c>
      <c r="B14" s="1">
        <v>46120</v>
      </c>
      <c r="C14" t="str">
        <f t="shared" si="0"/>
        <v>April</v>
      </c>
      <c r="D14" t="s">
        <v>56</v>
      </c>
      <c r="E14" t="s">
        <v>41</v>
      </c>
      <c r="F14" t="s">
        <v>57</v>
      </c>
      <c r="G14" t="s">
        <v>58</v>
      </c>
      <c r="H14">
        <v>6</v>
      </c>
      <c r="I14">
        <v>63988.08</v>
      </c>
      <c r="J14">
        <v>383928.48</v>
      </c>
      <c r="K14">
        <f t="shared" si="1"/>
        <v>383928.48</v>
      </c>
      <c r="L14">
        <v>35592.300000000003</v>
      </c>
      <c r="M14" t="s">
        <v>26</v>
      </c>
    </row>
    <row r="15" spans="1:13" x14ac:dyDescent="0.25">
      <c r="A15" t="s">
        <v>59</v>
      </c>
      <c r="B15" s="1">
        <v>46219</v>
      </c>
      <c r="C15" t="str">
        <f t="shared" si="0"/>
        <v>July</v>
      </c>
      <c r="D15" t="s">
        <v>37</v>
      </c>
      <c r="E15" t="s">
        <v>29</v>
      </c>
      <c r="F15" t="s">
        <v>14</v>
      </c>
      <c r="G15" t="s">
        <v>15</v>
      </c>
      <c r="H15">
        <v>6</v>
      </c>
      <c r="I15">
        <v>193852.38</v>
      </c>
      <c r="J15">
        <v>1163114.28</v>
      </c>
      <c r="K15">
        <f t="shared" si="1"/>
        <v>1163114.28</v>
      </c>
      <c r="L15">
        <v>267720.48</v>
      </c>
      <c r="M15" t="s">
        <v>26</v>
      </c>
    </row>
    <row r="16" spans="1:13" x14ac:dyDescent="0.25">
      <c r="A16" t="s">
        <v>60</v>
      </c>
      <c r="B16" s="1">
        <v>46207</v>
      </c>
      <c r="C16" t="str">
        <f t="shared" si="0"/>
        <v>July</v>
      </c>
      <c r="D16" t="s">
        <v>35</v>
      </c>
      <c r="E16" t="s">
        <v>13</v>
      </c>
      <c r="F16" t="s">
        <v>19</v>
      </c>
      <c r="G16" t="s">
        <v>25</v>
      </c>
      <c r="H16">
        <v>4</v>
      </c>
      <c r="I16">
        <v>810.58</v>
      </c>
      <c r="J16">
        <v>3242.32</v>
      </c>
      <c r="K16">
        <f t="shared" si="1"/>
        <v>3242.32</v>
      </c>
      <c r="L16">
        <v>727.64</v>
      </c>
      <c r="M16" t="s">
        <v>21</v>
      </c>
    </row>
    <row r="17" spans="1:13" x14ac:dyDescent="0.25">
      <c r="A17" t="s">
        <v>61</v>
      </c>
      <c r="B17" s="1">
        <v>46118</v>
      </c>
      <c r="C17" t="str">
        <f t="shared" si="0"/>
        <v>April</v>
      </c>
      <c r="D17" t="s">
        <v>23</v>
      </c>
      <c r="E17" t="s">
        <v>13</v>
      </c>
      <c r="F17" t="s">
        <v>14</v>
      </c>
      <c r="G17" t="s">
        <v>62</v>
      </c>
      <c r="H17">
        <v>6</v>
      </c>
      <c r="I17">
        <v>18027.59</v>
      </c>
      <c r="J17">
        <v>108165.54</v>
      </c>
      <c r="K17">
        <f t="shared" si="1"/>
        <v>108165.54000000001</v>
      </c>
      <c r="L17">
        <v>12956.31</v>
      </c>
      <c r="M17" t="s">
        <v>16</v>
      </c>
    </row>
    <row r="18" spans="1:13" x14ac:dyDescent="0.25">
      <c r="A18" t="s">
        <v>63</v>
      </c>
      <c r="B18" s="1">
        <v>46235</v>
      </c>
      <c r="C18" t="str">
        <f t="shared" si="0"/>
        <v>August</v>
      </c>
      <c r="D18" t="s">
        <v>35</v>
      </c>
      <c r="E18" t="s">
        <v>48</v>
      </c>
      <c r="F18" t="s">
        <v>30</v>
      </c>
      <c r="G18" t="s">
        <v>64</v>
      </c>
      <c r="H18">
        <v>1</v>
      </c>
      <c r="I18">
        <v>12913.23</v>
      </c>
      <c r="J18">
        <v>12913.23</v>
      </c>
      <c r="K18">
        <f t="shared" si="1"/>
        <v>12913.23</v>
      </c>
      <c r="L18">
        <v>1970.51</v>
      </c>
      <c r="M18" t="s">
        <v>16</v>
      </c>
    </row>
    <row r="19" spans="1:13" x14ac:dyDescent="0.25">
      <c r="A19" t="s">
        <v>65</v>
      </c>
      <c r="B19" s="1">
        <v>46217</v>
      </c>
      <c r="C19" t="str">
        <f t="shared" si="0"/>
        <v>July</v>
      </c>
      <c r="D19" t="s">
        <v>51</v>
      </c>
      <c r="E19" t="s">
        <v>66</v>
      </c>
      <c r="F19" t="s">
        <v>57</v>
      </c>
      <c r="G19" t="s">
        <v>67</v>
      </c>
      <c r="H19">
        <v>1</v>
      </c>
      <c r="I19">
        <v>43948.02</v>
      </c>
      <c r="J19">
        <v>43948.02</v>
      </c>
      <c r="K19">
        <f t="shared" si="1"/>
        <v>43948.02</v>
      </c>
      <c r="L19">
        <v>10688.36</v>
      </c>
      <c r="M19" t="s">
        <v>21</v>
      </c>
    </row>
    <row r="20" spans="1:13" x14ac:dyDescent="0.25">
      <c r="A20" t="s">
        <v>68</v>
      </c>
      <c r="B20" s="1">
        <v>46077</v>
      </c>
      <c r="C20" t="str">
        <f t="shared" si="0"/>
        <v>February</v>
      </c>
      <c r="D20" t="s">
        <v>51</v>
      </c>
      <c r="E20" t="s">
        <v>48</v>
      </c>
      <c r="F20" t="s">
        <v>19</v>
      </c>
      <c r="G20" t="s">
        <v>25</v>
      </c>
      <c r="H20">
        <v>3</v>
      </c>
      <c r="I20">
        <v>904.98</v>
      </c>
      <c r="J20">
        <v>2714.94</v>
      </c>
      <c r="K20">
        <f t="shared" si="1"/>
        <v>2714.94</v>
      </c>
      <c r="L20">
        <v>546.57000000000005</v>
      </c>
      <c r="M20" t="s">
        <v>26</v>
      </c>
    </row>
    <row r="21" spans="1:13" x14ac:dyDescent="0.25">
      <c r="A21" t="s">
        <v>69</v>
      </c>
      <c r="B21" s="1">
        <v>46086</v>
      </c>
      <c r="C21" t="str">
        <f t="shared" si="0"/>
        <v>March</v>
      </c>
      <c r="D21" t="s">
        <v>45</v>
      </c>
      <c r="E21" t="s">
        <v>29</v>
      </c>
      <c r="F21" t="s">
        <v>19</v>
      </c>
      <c r="G21" t="s">
        <v>49</v>
      </c>
      <c r="H21">
        <v>4</v>
      </c>
      <c r="I21">
        <v>1943.86</v>
      </c>
      <c r="J21">
        <v>7775.44</v>
      </c>
      <c r="K21">
        <f t="shared" si="1"/>
        <v>7775.44</v>
      </c>
      <c r="L21">
        <v>1324.14</v>
      </c>
      <c r="M21" t="s">
        <v>26</v>
      </c>
    </row>
    <row r="22" spans="1:13" x14ac:dyDescent="0.25">
      <c r="A22" t="s">
        <v>70</v>
      </c>
      <c r="B22" s="1">
        <v>46184</v>
      </c>
      <c r="C22" t="str">
        <f t="shared" si="0"/>
        <v>June</v>
      </c>
      <c r="D22" t="s">
        <v>18</v>
      </c>
      <c r="E22" t="s">
        <v>48</v>
      </c>
      <c r="F22" t="s">
        <v>14</v>
      </c>
      <c r="G22" t="s">
        <v>71</v>
      </c>
      <c r="H22">
        <v>5</v>
      </c>
      <c r="I22">
        <v>89684.13</v>
      </c>
      <c r="J22">
        <v>448420.65</v>
      </c>
      <c r="K22">
        <f t="shared" si="1"/>
        <v>448420.65</v>
      </c>
      <c r="L22">
        <v>42240.61</v>
      </c>
      <c r="M22" t="s">
        <v>16</v>
      </c>
    </row>
    <row r="23" spans="1:13" x14ac:dyDescent="0.25">
      <c r="A23" t="s">
        <v>72</v>
      </c>
      <c r="B23" s="1">
        <v>46147</v>
      </c>
      <c r="C23" t="str">
        <f t="shared" si="0"/>
        <v>May</v>
      </c>
      <c r="D23" t="s">
        <v>45</v>
      </c>
      <c r="E23" t="s">
        <v>13</v>
      </c>
      <c r="F23" t="s">
        <v>14</v>
      </c>
      <c r="G23" t="s">
        <v>62</v>
      </c>
      <c r="H23">
        <v>1</v>
      </c>
      <c r="I23">
        <v>18050.96</v>
      </c>
      <c r="J23">
        <v>18050.96</v>
      </c>
      <c r="K23">
        <f t="shared" si="1"/>
        <v>18050.96</v>
      </c>
      <c r="L23">
        <v>2449.4299999999998</v>
      </c>
      <c r="M23" t="s">
        <v>21</v>
      </c>
    </row>
    <row r="24" spans="1:13" x14ac:dyDescent="0.25">
      <c r="A24" t="s">
        <v>73</v>
      </c>
      <c r="B24" s="1">
        <v>46047</v>
      </c>
      <c r="C24" t="str">
        <f t="shared" si="0"/>
        <v>January</v>
      </c>
      <c r="D24" t="s">
        <v>28</v>
      </c>
      <c r="E24" t="s">
        <v>38</v>
      </c>
      <c r="F24" t="s">
        <v>19</v>
      </c>
      <c r="G24" t="s">
        <v>25</v>
      </c>
      <c r="H24">
        <v>4</v>
      </c>
      <c r="I24">
        <v>955.35</v>
      </c>
      <c r="J24">
        <v>3821.4</v>
      </c>
      <c r="K24">
        <f t="shared" si="1"/>
        <v>3821.4</v>
      </c>
      <c r="L24">
        <v>451.24</v>
      </c>
      <c r="M24" t="s">
        <v>43</v>
      </c>
    </row>
    <row r="25" spans="1:13" x14ac:dyDescent="0.25">
      <c r="A25" t="s">
        <v>74</v>
      </c>
      <c r="B25" s="1">
        <v>46188</v>
      </c>
      <c r="C25" t="str">
        <f t="shared" si="0"/>
        <v>June</v>
      </c>
      <c r="D25" t="s">
        <v>12</v>
      </c>
      <c r="E25" t="s">
        <v>46</v>
      </c>
      <c r="F25" t="s">
        <v>19</v>
      </c>
      <c r="G25" t="s">
        <v>53</v>
      </c>
      <c r="H25">
        <v>6</v>
      </c>
      <c r="I25">
        <v>637.58000000000004</v>
      </c>
      <c r="J25">
        <v>3825.48</v>
      </c>
      <c r="K25">
        <f t="shared" si="1"/>
        <v>3825.4800000000005</v>
      </c>
      <c r="L25">
        <v>805.99</v>
      </c>
      <c r="M25" t="s">
        <v>43</v>
      </c>
    </row>
    <row r="26" spans="1:13" x14ac:dyDescent="0.25">
      <c r="A26" t="s">
        <v>75</v>
      </c>
      <c r="B26" s="1">
        <v>46058</v>
      </c>
      <c r="C26" t="str">
        <f t="shared" si="0"/>
        <v>February</v>
      </c>
      <c r="D26" t="s">
        <v>28</v>
      </c>
      <c r="E26" t="s">
        <v>66</v>
      </c>
      <c r="F26" t="s">
        <v>30</v>
      </c>
      <c r="G26" t="s">
        <v>42</v>
      </c>
      <c r="H26">
        <v>2</v>
      </c>
      <c r="I26">
        <v>11259.82</v>
      </c>
      <c r="J26">
        <v>22519.64</v>
      </c>
      <c r="K26">
        <f t="shared" si="1"/>
        <v>22519.64</v>
      </c>
      <c r="L26">
        <v>4216.96</v>
      </c>
      <c r="M26" t="s">
        <v>26</v>
      </c>
    </row>
    <row r="27" spans="1:13" x14ac:dyDescent="0.25">
      <c r="A27" t="s">
        <v>76</v>
      </c>
      <c r="B27" s="1">
        <v>46163</v>
      </c>
      <c r="C27" t="str">
        <f t="shared" si="0"/>
        <v>May</v>
      </c>
      <c r="D27" t="s">
        <v>12</v>
      </c>
      <c r="E27" t="s">
        <v>46</v>
      </c>
      <c r="F27" t="s">
        <v>19</v>
      </c>
      <c r="G27" t="s">
        <v>25</v>
      </c>
      <c r="H27">
        <v>1</v>
      </c>
      <c r="I27">
        <v>889.76</v>
      </c>
      <c r="J27">
        <v>889.76</v>
      </c>
      <c r="K27">
        <f t="shared" si="1"/>
        <v>889.76</v>
      </c>
      <c r="L27">
        <v>224.46</v>
      </c>
      <c r="M27" t="s">
        <v>16</v>
      </c>
    </row>
    <row r="28" spans="1:13" x14ac:dyDescent="0.25">
      <c r="A28" t="s">
        <v>77</v>
      </c>
      <c r="B28" s="1">
        <v>46244</v>
      </c>
      <c r="C28" t="str">
        <f t="shared" si="0"/>
        <v>August</v>
      </c>
      <c r="D28" t="s">
        <v>28</v>
      </c>
      <c r="E28" t="s">
        <v>46</v>
      </c>
      <c r="F28" t="s">
        <v>14</v>
      </c>
      <c r="G28" t="s">
        <v>71</v>
      </c>
      <c r="H28">
        <v>2</v>
      </c>
      <c r="I28">
        <v>93221.87</v>
      </c>
      <c r="J28">
        <v>186443.74</v>
      </c>
      <c r="K28">
        <f t="shared" si="1"/>
        <v>186443.74</v>
      </c>
      <c r="L28">
        <v>32864.75</v>
      </c>
      <c r="M28" t="s">
        <v>21</v>
      </c>
    </row>
    <row r="29" spans="1:13" x14ac:dyDescent="0.25">
      <c r="A29" t="s">
        <v>78</v>
      </c>
      <c r="B29" s="1">
        <v>46139</v>
      </c>
      <c r="C29" t="str">
        <f t="shared" si="0"/>
        <v>April</v>
      </c>
      <c r="D29" t="s">
        <v>35</v>
      </c>
      <c r="E29" t="s">
        <v>24</v>
      </c>
      <c r="F29" t="s">
        <v>19</v>
      </c>
      <c r="G29" t="s">
        <v>20</v>
      </c>
      <c r="H29">
        <v>4</v>
      </c>
      <c r="I29">
        <v>1143.6500000000001</v>
      </c>
      <c r="J29">
        <v>4574.6000000000004</v>
      </c>
      <c r="K29">
        <f t="shared" si="1"/>
        <v>4574.6000000000004</v>
      </c>
      <c r="L29">
        <v>1083.33</v>
      </c>
      <c r="M29" t="s">
        <v>43</v>
      </c>
    </row>
    <row r="30" spans="1:13" x14ac:dyDescent="0.25">
      <c r="A30" t="s">
        <v>79</v>
      </c>
      <c r="B30" s="1">
        <v>46211</v>
      </c>
      <c r="C30" t="str">
        <f t="shared" si="0"/>
        <v>July</v>
      </c>
      <c r="D30" t="s">
        <v>51</v>
      </c>
      <c r="E30" t="s">
        <v>46</v>
      </c>
      <c r="F30" t="s">
        <v>57</v>
      </c>
      <c r="G30" t="s">
        <v>58</v>
      </c>
      <c r="H30">
        <v>3</v>
      </c>
      <c r="I30">
        <v>61330.11</v>
      </c>
      <c r="J30">
        <v>183990.33</v>
      </c>
      <c r="K30">
        <f t="shared" si="1"/>
        <v>183990.33000000002</v>
      </c>
      <c r="L30">
        <v>16871.3</v>
      </c>
      <c r="M30" t="s">
        <v>26</v>
      </c>
    </row>
    <row r="31" spans="1:13" x14ac:dyDescent="0.25">
      <c r="A31" t="s">
        <v>80</v>
      </c>
      <c r="B31" s="1">
        <v>46158</v>
      </c>
      <c r="C31" t="str">
        <f t="shared" si="0"/>
        <v>May</v>
      </c>
      <c r="D31" t="s">
        <v>23</v>
      </c>
      <c r="E31" t="s">
        <v>46</v>
      </c>
      <c r="F31" t="s">
        <v>14</v>
      </c>
      <c r="G31" t="s">
        <v>15</v>
      </c>
      <c r="H31">
        <v>5</v>
      </c>
      <c r="I31">
        <v>179164.39</v>
      </c>
      <c r="J31">
        <v>895821.95</v>
      </c>
      <c r="K31">
        <f t="shared" si="1"/>
        <v>895821.95000000007</v>
      </c>
      <c r="L31">
        <v>236387.19</v>
      </c>
      <c r="M31" t="s">
        <v>16</v>
      </c>
    </row>
    <row r="32" spans="1:13" x14ac:dyDescent="0.25">
      <c r="A32" t="s">
        <v>81</v>
      </c>
      <c r="B32" s="1">
        <v>46126</v>
      </c>
      <c r="C32" t="str">
        <f t="shared" si="0"/>
        <v>April</v>
      </c>
      <c r="D32" t="s">
        <v>12</v>
      </c>
      <c r="E32" t="s">
        <v>48</v>
      </c>
      <c r="F32" t="s">
        <v>57</v>
      </c>
      <c r="G32" t="s">
        <v>67</v>
      </c>
      <c r="H32">
        <v>5</v>
      </c>
      <c r="I32">
        <v>38370.870000000003</v>
      </c>
      <c r="J32">
        <v>191854.35</v>
      </c>
      <c r="K32">
        <f t="shared" si="1"/>
        <v>191854.35</v>
      </c>
      <c r="L32">
        <v>48417.1</v>
      </c>
      <c r="M32" t="s">
        <v>16</v>
      </c>
    </row>
    <row r="33" spans="1:13" x14ac:dyDescent="0.25">
      <c r="A33" t="s">
        <v>82</v>
      </c>
      <c r="B33" s="1">
        <v>46089</v>
      </c>
      <c r="C33" t="str">
        <f t="shared" si="0"/>
        <v>March</v>
      </c>
      <c r="D33" t="s">
        <v>45</v>
      </c>
      <c r="E33" t="s">
        <v>38</v>
      </c>
      <c r="F33" t="s">
        <v>14</v>
      </c>
      <c r="G33" t="s">
        <v>39</v>
      </c>
      <c r="H33">
        <v>6</v>
      </c>
      <c r="I33">
        <v>55920.4</v>
      </c>
      <c r="J33">
        <v>335522.40000000002</v>
      </c>
      <c r="K33">
        <f t="shared" si="1"/>
        <v>335522.40000000002</v>
      </c>
      <c r="L33">
        <v>61922.85</v>
      </c>
      <c r="M33" t="s">
        <v>21</v>
      </c>
    </row>
    <row r="34" spans="1:13" x14ac:dyDescent="0.25">
      <c r="A34" t="s">
        <v>83</v>
      </c>
      <c r="B34" s="1">
        <v>46103</v>
      </c>
      <c r="C34" t="str">
        <f t="shared" ref="C34:C65" si="2">TEXT(B34,"mmmm")</f>
        <v>March</v>
      </c>
      <c r="D34" t="s">
        <v>12</v>
      </c>
      <c r="E34" t="s">
        <v>46</v>
      </c>
      <c r="F34" t="s">
        <v>30</v>
      </c>
      <c r="G34" t="s">
        <v>64</v>
      </c>
      <c r="H34">
        <v>2</v>
      </c>
      <c r="I34">
        <v>14480.73</v>
      </c>
      <c r="J34">
        <v>28961.46</v>
      </c>
      <c r="K34">
        <f t="shared" ref="K34:K65" si="3">H34*I34</f>
        <v>28961.46</v>
      </c>
      <c r="L34">
        <v>4054.59</v>
      </c>
      <c r="M34" t="s">
        <v>43</v>
      </c>
    </row>
    <row r="35" spans="1:13" x14ac:dyDescent="0.25">
      <c r="A35" t="s">
        <v>84</v>
      </c>
      <c r="B35" s="1">
        <v>46112</v>
      </c>
      <c r="C35" t="str">
        <f t="shared" si="2"/>
        <v>March</v>
      </c>
      <c r="D35" t="s">
        <v>12</v>
      </c>
      <c r="E35" t="s">
        <v>48</v>
      </c>
      <c r="F35" t="s">
        <v>14</v>
      </c>
      <c r="G35" t="s">
        <v>15</v>
      </c>
      <c r="H35">
        <v>5</v>
      </c>
      <c r="I35">
        <v>169673.56</v>
      </c>
      <c r="J35">
        <v>848367.8</v>
      </c>
      <c r="K35">
        <f t="shared" si="3"/>
        <v>848367.8</v>
      </c>
      <c r="L35">
        <v>112866.92</v>
      </c>
      <c r="M35" t="s">
        <v>26</v>
      </c>
    </row>
    <row r="36" spans="1:13" x14ac:dyDescent="0.25">
      <c r="A36" t="s">
        <v>85</v>
      </c>
      <c r="B36" s="1">
        <v>46179</v>
      </c>
      <c r="C36" t="str">
        <f t="shared" si="2"/>
        <v>June</v>
      </c>
      <c r="D36" t="s">
        <v>51</v>
      </c>
      <c r="E36" t="s">
        <v>46</v>
      </c>
      <c r="F36" t="s">
        <v>30</v>
      </c>
      <c r="G36" t="s">
        <v>31</v>
      </c>
      <c r="H36">
        <v>4</v>
      </c>
      <c r="I36">
        <v>6933.87</v>
      </c>
      <c r="J36">
        <v>27735.48</v>
      </c>
      <c r="K36">
        <f t="shared" si="3"/>
        <v>27735.48</v>
      </c>
      <c r="L36">
        <v>6121.44</v>
      </c>
      <c r="M36" t="s">
        <v>26</v>
      </c>
    </row>
    <row r="37" spans="1:13" x14ac:dyDescent="0.25">
      <c r="A37" t="s">
        <v>86</v>
      </c>
      <c r="B37" s="1">
        <v>46164</v>
      </c>
      <c r="C37" t="str">
        <f t="shared" si="2"/>
        <v>May</v>
      </c>
      <c r="D37" t="s">
        <v>23</v>
      </c>
      <c r="E37" t="s">
        <v>52</v>
      </c>
      <c r="F37" t="s">
        <v>14</v>
      </c>
      <c r="G37" t="s">
        <v>71</v>
      </c>
      <c r="H37">
        <v>3</v>
      </c>
      <c r="I37">
        <v>87693.14</v>
      </c>
      <c r="J37">
        <v>263079.42</v>
      </c>
      <c r="K37">
        <f t="shared" si="3"/>
        <v>263079.42</v>
      </c>
      <c r="L37">
        <v>26678.15</v>
      </c>
      <c r="M37" t="s">
        <v>26</v>
      </c>
    </row>
    <row r="38" spans="1:13" x14ac:dyDescent="0.25">
      <c r="A38" t="s">
        <v>87</v>
      </c>
      <c r="B38" s="1">
        <v>46152</v>
      </c>
      <c r="C38" t="str">
        <f t="shared" si="2"/>
        <v>May</v>
      </c>
      <c r="D38" t="s">
        <v>88</v>
      </c>
      <c r="E38" t="s">
        <v>52</v>
      </c>
      <c r="F38" t="s">
        <v>57</v>
      </c>
      <c r="G38" t="s">
        <v>89</v>
      </c>
      <c r="H38">
        <v>2</v>
      </c>
      <c r="I38">
        <v>8818.75</v>
      </c>
      <c r="J38">
        <v>17637.5</v>
      </c>
      <c r="K38">
        <f t="shared" si="3"/>
        <v>17637.5</v>
      </c>
      <c r="L38">
        <v>4419.6499999999996</v>
      </c>
      <c r="M38" t="s">
        <v>16</v>
      </c>
    </row>
    <row r="39" spans="1:13" x14ac:dyDescent="0.25">
      <c r="A39" t="s">
        <v>90</v>
      </c>
      <c r="B39" s="1">
        <v>46056</v>
      </c>
      <c r="C39" t="str">
        <f t="shared" si="2"/>
        <v>February</v>
      </c>
      <c r="D39" t="s">
        <v>35</v>
      </c>
      <c r="E39" t="s">
        <v>66</v>
      </c>
      <c r="F39" t="s">
        <v>14</v>
      </c>
      <c r="G39" t="s">
        <v>39</v>
      </c>
      <c r="H39">
        <v>3</v>
      </c>
      <c r="I39">
        <v>49984.95</v>
      </c>
      <c r="J39">
        <v>149954.85</v>
      </c>
      <c r="K39">
        <f t="shared" si="3"/>
        <v>149954.84999999998</v>
      </c>
      <c r="L39">
        <v>22000.07</v>
      </c>
      <c r="M39" t="s">
        <v>43</v>
      </c>
    </row>
    <row r="40" spans="1:13" x14ac:dyDescent="0.25">
      <c r="A40" t="s">
        <v>91</v>
      </c>
      <c r="B40" s="1">
        <v>46061</v>
      </c>
      <c r="C40" t="str">
        <f t="shared" si="2"/>
        <v>February</v>
      </c>
      <c r="D40" t="s">
        <v>51</v>
      </c>
      <c r="E40" t="s">
        <v>46</v>
      </c>
      <c r="F40" t="s">
        <v>19</v>
      </c>
      <c r="G40" t="s">
        <v>20</v>
      </c>
      <c r="H40">
        <v>1</v>
      </c>
      <c r="I40">
        <v>1098.06</v>
      </c>
      <c r="J40">
        <v>1098.06</v>
      </c>
      <c r="K40">
        <f t="shared" si="3"/>
        <v>1098.06</v>
      </c>
      <c r="L40">
        <v>281.79000000000002</v>
      </c>
      <c r="M40" t="s">
        <v>26</v>
      </c>
    </row>
    <row r="41" spans="1:13" x14ac:dyDescent="0.25">
      <c r="A41" t="s">
        <v>92</v>
      </c>
      <c r="B41" s="1">
        <v>46226</v>
      </c>
      <c r="C41" t="str">
        <f t="shared" si="2"/>
        <v>July</v>
      </c>
      <c r="D41" t="s">
        <v>18</v>
      </c>
      <c r="E41" t="s">
        <v>38</v>
      </c>
      <c r="F41" t="s">
        <v>57</v>
      </c>
      <c r="G41" t="s">
        <v>93</v>
      </c>
      <c r="H41">
        <v>2</v>
      </c>
      <c r="I41">
        <v>27250.97</v>
      </c>
      <c r="J41">
        <v>54501.94</v>
      </c>
      <c r="K41">
        <f t="shared" si="3"/>
        <v>54501.94</v>
      </c>
      <c r="L41">
        <v>8335</v>
      </c>
      <c r="M41" t="s">
        <v>21</v>
      </c>
    </row>
    <row r="42" spans="1:13" x14ac:dyDescent="0.25">
      <c r="A42" t="s">
        <v>94</v>
      </c>
      <c r="B42" s="1">
        <v>46127</v>
      </c>
      <c r="C42" t="str">
        <f t="shared" si="2"/>
        <v>April</v>
      </c>
      <c r="D42" t="s">
        <v>56</v>
      </c>
      <c r="E42" t="s">
        <v>66</v>
      </c>
      <c r="F42" t="s">
        <v>57</v>
      </c>
      <c r="G42" t="s">
        <v>67</v>
      </c>
      <c r="H42">
        <v>3</v>
      </c>
      <c r="I42">
        <v>44352.98</v>
      </c>
      <c r="J42">
        <v>133058.94</v>
      </c>
      <c r="K42">
        <f t="shared" si="3"/>
        <v>133058.94</v>
      </c>
      <c r="L42">
        <v>34173.120000000003</v>
      </c>
      <c r="M42" t="s">
        <v>21</v>
      </c>
    </row>
    <row r="43" spans="1:13" x14ac:dyDescent="0.25">
      <c r="A43" t="s">
        <v>95</v>
      </c>
      <c r="B43" s="1">
        <v>46108</v>
      </c>
      <c r="C43" t="str">
        <f t="shared" si="2"/>
        <v>March</v>
      </c>
      <c r="D43" t="s">
        <v>28</v>
      </c>
      <c r="E43" t="s">
        <v>48</v>
      </c>
      <c r="F43" t="s">
        <v>57</v>
      </c>
      <c r="G43" t="s">
        <v>58</v>
      </c>
      <c r="H43">
        <v>4</v>
      </c>
      <c r="I43">
        <v>58822.22</v>
      </c>
      <c r="J43">
        <v>235288.88</v>
      </c>
      <c r="K43">
        <f t="shared" si="3"/>
        <v>235288.88</v>
      </c>
      <c r="L43">
        <v>53484.2</v>
      </c>
      <c r="M43" t="s">
        <v>26</v>
      </c>
    </row>
    <row r="44" spans="1:13" x14ac:dyDescent="0.25">
      <c r="A44" t="s">
        <v>96</v>
      </c>
      <c r="B44" s="1">
        <v>46079</v>
      </c>
      <c r="C44" t="str">
        <f t="shared" si="2"/>
        <v>February</v>
      </c>
      <c r="D44" t="s">
        <v>45</v>
      </c>
      <c r="E44" t="s">
        <v>41</v>
      </c>
      <c r="F44" t="s">
        <v>57</v>
      </c>
      <c r="G44" t="s">
        <v>67</v>
      </c>
      <c r="H44">
        <v>4</v>
      </c>
      <c r="I44">
        <v>45126.2</v>
      </c>
      <c r="J44">
        <v>180504.8</v>
      </c>
      <c r="K44">
        <f t="shared" si="3"/>
        <v>180504.8</v>
      </c>
      <c r="L44">
        <v>45436.42</v>
      </c>
      <c r="M44" t="s">
        <v>26</v>
      </c>
    </row>
    <row r="45" spans="1:13" x14ac:dyDescent="0.25">
      <c r="A45" t="s">
        <v>97</v>
      </c>
      <c r="B45" s="1">
        <v>46107</v>
      </c>
      <c r="C45" t="str">
        <f t="shared" si="2"/>
        <v>March</v>
      </c>
      <c r="D45" t="s">
        <v>35</v>
      </c>
      <c r="E45" t="s">
        <v>29</v>
      </c>
      <c r="F45" t="s">
        <v>30</v>
      </c>
      <c r="G45" t="s">
        <v>31</v>
      </c>
      <c r="H45">
        <v>2</v>
      </c>
      <c r="I45">
        <v>5880.76</v>
      </c>
      <c r="J45">
        <v>11761.52</v>
      </c>
      <c r="K45">
        <f t="shared" si="3"/>
        <v>11761.52</v>
      </c>
      <c r="L45">
        <v>1395.22</v>
      </c>
      <c r="M45" t="s">
        <v>26</v>
      </c>
    </row>
    <row r="46" spans="1:13" x14ac:dyDescent="0.25">
      <c r="A46" t="s">
        <v>98</v>
      </c>
      <c r="B46" s="1">
        <v>46030</v>
      </c>
      <c r="C46" t="str">
        <f t="shared" si="2"/>
        <v>January</v>
      </c>
      <c r="D46" t="s">
        <v>12</v>
      </c>
      <c r="E46" t="s">
        <v>52</v>
      </c>
      <c r="F46" t="s">
        <v>30</v>
      </c>
      <c r="G46" t="s">
        <v>64</v>
      </c>
      <c r="H46">
        <v>6</v>
      </c>
      <c r="I46">
        <v>15347.22</v>
      </c>
      <c r="J46">
        <v>92083.32</v>
      </c>
      <c r="K46">
        <f t="shared" si="3"/>
        <v>92083.319999999992</v>
      </c>
      <c r="L46">
        <v>17241.97</v>
      </c>
      <c r="M46" t="s">
        <v>21</v>
      </c>
    </row>
    <row r="47" spans="1:13" x14ac:dyDescent="0.25">
      <c r="A47" t="s">
        <v>99</v>
      </c>
      <c r="B47" s="1">
        <v>46224</v>
      </c>
      <c r="C47" t="str">
        <f t="shared" si="2"/>
        <v>July</v>
      </c>
      <c r="D47" t="s">
        <v>37</v>
      </c>
      <c r="E47" t="s">
        <v>24</v>
      </c>
      <c r="F47" t="s">
        <v>30</v>
      </c>
      <c r="G47" t="s">
        <v>42</v>
      </c>
      <c r="H47">
        <v>1</v>
      </c>
      <c r="I47">
        <v>12231.77</v>
      </c>
      <c r="J47">
        <v>12231.77</v>
      </c>
      <c r="K47">
        <f t="shared" si="3"/>
        <v>12231.77</v>
      </c>
      <c r="L47">
        <v>1824.21</v>
      </c>
      <c r="M47" t="s">
        <v>16</v>
      </c>
    </row>
    <row r="48" spans="1:13" x14ac:dyDescent="0.25">
      <c r="A48" t="s">
        <v>100</v>
      </c>
      <c r="B48" s="1">
        <v>46156</v>
      </c>
      <c r="C48" t="str">
        <f t="shared" si="2"/>
        <v>May</v>
      </c>
      <c r="D48" t="s">
        <v>51</v>
      </c>
      <c r="E48" t="s">
        <v>48</v>
      </c>
      <c r="F48" t="s">
        <v>19</v>
      </c>
      <c r="G48" t="s">
        <v>25</v>
      </c>
      <c r="H48">
        <v>3</v>
      </c>
      <c r="I48">
        <v>817.99</v>
      </c>
      <c r="J48">
        <v>2453.9699999999998</v>
      </c>
      <c r="K48">
        <f t="shared" si="3"/>
        <v>2453.9700000000003</v>
      </c>
      <c r="L48">
        <v>410.33</v>
      </c>
      <c r="M48" t="s">
        <v>26</v>
      </c>
    </row>
    <row r="49" spans="1:13" x14ac:dyDescent="0.25">
      <c r="A49" t="s">
        <v>101</v>
      </c>
      <c r="B49" s="1">
        <v>46192</v>
      </c>
      <c r="C49" t="str">
        <f t="shared" si="2"/>
        <v>June</v>
      </c>
      <c r="D49" t="s">
        <v>12</v>
      </c>
      <c r="E49" t="s">
        <v>52</v>
      </c>
      <c r="F49" t="s">
        <v>19</v>
      </c>
      <c r="G49" t="s">
        <v>20</v>
      </c>
      <c r="H49">
        <v>6</v>
      </c>
      <c r="I49">
        <v>1300.99</v>
      </c>
      <c r="J49">
        <v>7805.94</v>
      </c>
      <c r="K49">
        <f t="shared" si="3"/>
        <v>7805.9400000000005</v>
      </c>
      <c r="L49">
        <v>1597.34</v>
      </c>
      <c r="M49" t="s">
        <v>26</v>
      </c>
    </row>
    <row r="50" spans="1:13" x14ac:dyDescent="0.25">
      <c r="A50" t="s">
        <v>102</v>
      </c>
      <c r="B50" s="1">
        <v>46072</v>
      </c>
      <c r="C50" t="str">
        <f t="shared" si="2"/>
        <v>February</v>
      </c>
      <c r="D50" t="s">
        <v>28</v>
      </c>
      <c r="E50" t="s">
        <v>24</v>
      </c>
      <c r="F50" t="s">
        <v>19</v>
      </c>
      <c r="G50" t="s">
        <v>49</v>
      </c>
      <c r="H50">
        <v>4</v>
      </c>
      <c r="I50">
        <v>1871</v>
      </c>
      <c r="J50">
        <v>7484</v>
      </c>
      <c r="K50">
        <f t="shared" si="3"/>
        <v>7484</v>
      </c>
      <c r="L50">
        <v>1428.56</v>
      </c>
      <c r="M50" t="s">
        <v>21</v>
      </c>
    </row>
    <row r="51" spans="1:13" x14ac:dyDescent="0.25">
      <c r="A51" t="s">
        <v>103</v>
      </c>
      <c r="B51" s="1">
        <v>46076</v>
      </c>
      <c r="C51" t="str">
        <f t="shared" si="2"/>
        <v>February</v>
      </c>
      <c r="D51" t="s">
        <v>28</v>
      </c>
      <c r="E51" t="s">
        <v>38</v>
      </c>
      <c r="F51" t="s">
        <v>30</v>
      </c>
      <c r="G51" t="s">
        <v>64</v>
      </c>
      <c r="H51">
        <v>5</v>
      </c>
      <c r="I51">
        <v>14934.43</v>
      </c>
      <c r="J51">
        <v>74672.149999999994</v>
      </c>
      <c r="K51">
        <f t="shared" si="3"/>
        <v>74672.149999999994</v>
      </c>
      <c r="L51">
        <v>10511.97</v>
      </c>
      <c r="M51" t="s">
        <v>43</v>
      </c>
    </row>
    <row r="52" spans="1:13" x14ac:dyDescent="0.25">
      <c r="A52" t="s">
        <v>104</v>
      </c>
      <c r="B52" s="1">
        <v>46253</v>
      </c>
      <c r="C52" t="str">
        <f t="shared" si="2"/>
        <v>August</v>
      </c>
      <c r="D52" t="s">
        <v>23</v>
      </c>
      <c r="E52" t="s">
        <v>29</v>
      </c>
      <c r="F52" t="s">
        <v>19</v>
      </c>
      <c r="G52" t="s">
        <v>53</v>
      </c>
      <c r="H52">
        <v>6</v>
      </c>
      <c r="I52">
        <v>659.92</v>
      </c>
      <c r="J52">
        <v>3959.52</v>
      </c>
      <c r="K52">
        <f t="shared" si="3"/>
        <v>3959.5199999999995</v>
      </c>
      <c r="L52">
        <v>691.48</v>
      </c>
      <c r="M52" t="s">
        <v>26</v>
      </c>
    </row>
    <row r="53" spans="1:13" x14ac:dyDescent="0.25">
      <c r="A53" t="s">
        <v>105</v>
      </c>
      <c r="B53" s="1">
        <v>46073</v>
      </c>
      <c r="C53" t="str">
        <f t="shared" si="2"/>
        <v>February</v>
      </c>
      <c r="D53" t="s">
        <v>23</v>
      </c>
      <c r="E53" t="s">
        <v>46</v>
      </c>
      <c r="F53" t="s">
        <v>30</v>
      </c>
      <c r="G53" t="s">
        <v>42</v>
      </c>
      <c r="H53">
        <v>2</v>
      </c>
      <c r="I53">
        <v>12414.71</v>
      </c>
      <c r="J53">
        <v>24829.42</v>
      </c>
      <c r="K53">
        <f t="shared" si="3"/>
        <v>24829.42</v>
      </c>
      <c r="L53">
        <v>3101.89</v>
      </c>
      <c r="M53" t="s">
        <v>16</v>
      </c>
    </row>
    <row r="54" spans="1:13" x14ac:dyDescent="0.25">
      <c r="A54" t="s">
        <v>106</v>
      </c>
      <c r="B54" s="1">
        <v>46129</v>
      </c>
      <c r="C54" t="str">
        <f t="shared" si="2"/>
        <v>April</v>
      </c>
      <c r="D54" t="s">
        <v>56</v>
      </c>
      <c r="E54" t="s">
        <v>48</v>
      </c>
      <c r="F54" t="s">
        <v>57</v>
      </c>
      <c r="G54" t="s">
        <v>93</v>
      </c>
      <c r="H54">
        <v>5</v>
      </c>
      <c r="I54">
        <v>32098.43</v>
      </c>
      <c r="J54">
        <v>160492.15</v>
      </c>
      <c r="K54">
        <f t="shared" si="3"/>
        <v>160492.15</v>
      </c>
      <c r="L54">
        <v>15177.04</v>
      </c>
      <c r="M54" t="s">
        <v>43</v>
      </c>
    </row>
    <row r="55" spans="1:13" x14ac:dyDescent="0.25">
      <c r="A55" t="s">
        <v>107</v>
      </c>
      <c r="B55" s="1">
        <v>46251</v>
      </c>
      <c r="C55" t="str">
        <f t="shared" si="2"/>
        <v>August</v>
      </c>
      <c r="D55" t="s">
        <v>12</v>
      </c>
      <c r="E55" t="s">
        <v>24</v>
      </c>
      <c r="F55" t="s">
        <v>19</v>
      </c>
      <c r="G55" t="s">
        <v>53</v>
      </c>
      <c r="H55">
        <v>2</v>
      </c>
      <c r="I55">
        <v>650.66</v>
      </c>
      <c r="J55">
        <v>1301.32</v>
      </c>
      <c r="K55">
        <f t="shared" si="3"/>
        <v>1301.32</v>
      </c>
      <c r="L55">
        <v>283.07</v>
      </c>
      <c r="M55" t="s">
        <v>21</v>
      </c>
    </row>
    <row r="56" spans="1:13" x14ac:dyDescent="0.25">
      <c r="A56" t="s">
        <v>108</v>
      </c>
      <c r="B56" s="1">
        <v>46054</v>
      </c>
      <c r="C56" t="str">
        <f t="shared" si="2"/>
        <v>February</v>
      </c>
      <c r="D56" t="s">
        <v>88</v>
      </c>
      <c r="E56" t="s">
        <v>66</v>
      </c>
      <c r="F56" t="s">
        <v>57</v>
      </c>
      <c r="G56" t="s">
        <v>93</v>
      </c>
      <c r="H56">
        <v>1</v>
      </c>
      <c r="I56">
        <v>30344.43</v>
      </c>
      <c r="J56">
        <v>30344.43</v>
      </c>
      <c r="K56">
        <f t="shared" si="3"/>
        <v>30344.43</v>
      </c>
      <c r="L56">
        <v>7995.58</v>
      </c>
      <c r="M56" t="s">
        <v>43</v>
      </c>
    </row>
    <row r="57" spans="1:13" x14ac:dyDescent="0.25">
      <c r="A57" t="s">
        <v>109</v>
      </c>
      <c r="B57" s="1">
        <v>46132</v>
      </c>
      <c r="C57" t="str">
        <f t="shared" si="2"/>
        <v>April</v>
      </c>
      <c r="D57" t="s">
        <v>51</v>
      </c>
      <c r="E57" t="s">
        <v>41</v>
      </c>
      <c r="F57" t="s">
        <v>30</v>
      </c>
      <c r="G57" t="s">
        <v>64</v>
      </c>
      <c r="H57">
        <v>5</v>
      </c>
      <c r="I57">
        <v>14882.02</v>
      </c>
      <c r="J57">
        <v>74410.100000000006</v>
      </c>
      <c r="K57">
        <f t="shared" si="3"/>
        <v>74410.100000000006</v>
      </c>
      <c r="L57">
        <v>19227.87</v>
      </c>
      <c r="M57" t="s">
        <v>21</v>
      </c>
    </row>
    <row r="58" spans="1:13" x14ac:dyDescent="0.25">
      <c r="A58" t="s">
        <v>110</v>
      </c>
      <c r="B58" s="1">
        <v>46093</v>
      </c>
      <c r="C58" t="str">
        <f t="shared" si="2"/>
        <v>March</v>
      </c>
      <c r="D58" t="s">
        <v>51</v>
      </c>
      <c r="E58" t="s">
        <v>41</v>
      </c>
      <c r="F58" t="s">
        <v>19</v>
      </c>
      <c r="G58" t="s">
        <v>53</v>
      </c>
      <c r="H58">
        <v>3</v>
      </c>
      <c r="I58">
        <v>735.25</v>
      </c>
      <c r="J58">
        <v>2205.75</v>
      </c>
      <c r="K58">
        <f t="shared" si="3"/>
        <v>2205.75</v>
      </c>
      <c r="L58">
        <v>546.97</v>
      </c>
      <c r="M58" t="s">
        <v>21</v>
      </c>
    </row>
    <row r="59" spans="1:13" x14ac:dyDescent="0.25">
      <c r="A59" t="s">
        <v>111</v>
      </c>
      <c r="B59" s="1">
        <v>46108</v>
      </c>
      <c r="C59" t="str">
        <f t="shared" si="2"/>
        <v>March</v>
      </c>
      <c r="D59" t="s">
        <v>37</v>
      </c>
      <c r="E59" t="s">
        <v>13</v>
      </c>
      <c r="F59" t="s">
        <v>30</v>
      </c>
      <c r="G59" t="s">
        <v>64</v>
      </c>
      <c r="H59">
        <v>1</v>
      </c>
      <c r="I59">
        <v>14597.93</v>
      </c>
      <c r="J59">
        <v>14597.93</v>
      </c>
      <c r="K59">
        <f t="shared" si="3"/>
        <v>14597.93</v>
      </c>
      <c r="L59">
        <v>1852.46</v>
      </c>
      <c r="M59" t="s">
        <v>16</v>
      </c>
    </row>
    <row r="60" spans="1:13" x14ac:dyDescent="0.25">
      <c r="A60" t="s">
        <v>112</v>
      </c>
      <c r="B60" s="1">
        <v>46077</v>
      </c>
      <c r="C60" t="str">
        <f t="shared" si="2"/>
        <v>February</v>
      </c>
      <c r="D60" t="s">
        <v>12</v>
      </c>
      <c r="E60" t="s">
        <v>24</v>
      </c>
      <c r="F60" t="s">
        <v>57</v>
      </c>
      <c r="G60" t="s">
        <v>58</v>
      </c>
      <c r="H60">
        <v>2</v>
      </c>
      <c r="I60">
        <v>63479.46</v>
      </c>
      <c r="J60">
        <v>126958.92</v>
      </c>
      <c r="K60">
        <f t="shared" si="3"/>
        <v>126958.92</v>
      </c>
      <c r="L60">
        <v>14036.71</v>
      </c>
      <c r="M60" t="s">
        <v>43</v>
      </c>
    </row>
    <row r="61" spans="1:13" x14ac:dyDescent="0.25">
      <c r="A61" t="s">
        <v>113</v>
      </c>
      <c r="B61" s="1">
        <v>46122</v>
      </c>
      <c r="C61" t="str">
        <f t="shared" si="2"/>
        <v>April</v>
      </c>
      <c r="D61" t="s">
        <v>56</v>
      </c>
      <c r="E61" t="s">
        <v>46</v>
      </c>
      <c r="F61" t="s">
        <v>30</v>
      </c>
      <c r="G61" t="s">
        <v>64</v>
      </c>
      <c r="H61">
        <v>4</v>
      </c>
      <c r="I61">
        <v>12774.34</v>
      </c>
      <c r="J61">
        <v>51097.36</v>
      </c>
      <c r="K61">
        <f t="shared" si="3"/>
        <v>51097.36</v>
      </c>
      <c r="L61">
        <v>12599.5</v>
      </c>
      <c r="M61" t="s">
        <v>43</v>
      </c>
    </row>
    <row r="62" spans="1:13" x14ac:dyDescent="0.25">
      <c r="A62" t="s">
        <v>114</v>
      </c>
      <c r="B62" s="1">
        <v>46251</v>
      </c>
      <c r="C62" t="str">
        <f t="shared" si="2"/>
        <v>August</v>
      </c>
      <c r="D62" t="s">
        <v>28</v>
      </c>
      <c r="E62" t="s">
        <v>13</v>
      </c>
      <c r="F62" t="s">
        <v>19</v>
      </c>
      <c r="G62" t="s">
        <v>20</v>
      </c>
      <c r="H62">
        <v>3</v>
      </c>
      <c r="I62">
        <v>1151.67</v>
      </c>
      <c r="J62">
        <v>3455.01</v>
      </c>
      <c r="K62">
        <f t="shared" si="3"/>
        <v>3455.01</v>
      </c>
      <c r="L62">
        <v>545.88</v>
      </c>
      <c r="M62" t="s">
        <v>21</v>
      </c>
    </row>
    <row r="63" spans="1:13" x14ac:dyDescent="0.25">
      <c r="A63" t="s">
        <v>115</v>
      </c>
      <c r="B63" s="1">
        <v>46109</v>
      </c>
      <c r="C63" t="str">
        <f t="shared" si="2"/>
        <v>March</v>
      </c>
      <c r="D63" t="s">
        <v>28</v>
      </c>
      <c r="E63" t="s">
        <v>66</v>
      </c>
      <c r="F63" t="s">
        <v>19</v>
      </c>
      <c r="G63" t="s">
        <v>25</v>
      </c>
      <c r="H63">
        <v>3</v>
      </c>
      <c r="I63">
        <v>888.45</v>
      </c>
      <c r="J63">
        <v>2665.35</v>
      </c>
      <c r="K63">
        <f t="shared" si="3"/>
        <v>2665.3500000000004</v>
      </c>
      <c r="L63">
        <v>228.7</v>
      </c>
      <c r="M63" t="s">
        <v>43</v>
      </c>
    </row>
    <row r="64" spans="1:13" x14ac:dyDescent="0.25">
      <c r="A64" t="s">
        <v>116</v>
      </c>
      <c r="B64" s="1">
        <v>46044</v>
      </c>
      <c r="C64" t="str">
        <f t="shared" si="2"/>
        <v>January</v>
      </c>
      <c r="D64" t="s">
        <v>28</v>
      </c>
      <c r="E64" t="s">
        <v>66</v>
      </c>
      <c r="F64" t="s">
        <v>57</v>
      </c>
      <c r="G64" t="s">
        <v>67</v>
      </c>
      <c r="H64">
        <v>4</v>
      </c>
      <c r="I64">
        <v>42771.9</v>
      </c>
      <c r="J64">
        <v>171087.6</v>
      </c>
      <c r="K64">
        <f t="shared" si="3"/>
        <v>171087.6</v>
      </c>
      <c r="L64">
        <v>36373.22</v>
      </c>
      <c r="M64" t="s">
        <v>43</v>
      </c>
    </row>
    <row r="65" spans="1:13" x14ac:dyDescent="0.25">
      <c r="A65" t="s">
        <v>117</v>
      </c>
      <c r="B65" s="1">
        <v>46106</v>
      </c>
      <c r="C65" t="str">
        <f t="shared" si="2"/>
        <v>March</v>
      </c>
      <c r="D65" t="s">
        <v>37</v>
      </c>
      <c r="E65" t="s">
        <v>24</v>
      </c>
      <c r="F65" t="s">
        <v>57</v>
      </c>
      <c r="G65" t="s">
        <v>67</v>
      </c>
      <c r="H65">
        <v>3</v>
      </c>
      <c r="I65">
        <v>40984.47</v>
      </c>
      <c r="J65">
        <v>122953.41</v>
      </c>
      <c r="K65">
        <f t="shared" si="3"/>
        <v>122953.41</v>
      </c>
      <c r="L65">
        <v>15041.14</v>
      </c>
      <c r="M65" t="s">
        <v>26</v>
      </c>
    </row>
    <row r="66" spans="1:13" x14ac:dyDescent="0.25">
      <c r="A66" t="s">
        <v>118</v>
      </c>
      <c r="B66" s="1">
        <v>46036</v>
      </c>
      <c r="C66" t="str">
        <f t="shared" ref="C66:C97" si="4">TEXT(B66,"mmmm")</f>
        <v>January</v>
      </c>
      <c r="D66" t="s">
        <v>37</v>
      </c>
      <c r="E66" t="s">
        <v>48</v>
      </c>
      <c r="F66" t="s">
        <v>19</v>
      </c>
      <c r="G66" t="s">
        <v>49</v>
      </c>
      <c r="H66">
        <v>1</v>
      </c>
      <c r="I66">
        <v>1789.31</v>
      </c>
      <c r="J66">
        <v>1789.31</v>
      </c>
      <c r="K66">
        <f t="shared" ref="K66:K97" si="5">H66*I66</f>
        <v>1789.31</v>
      </c>
      <c r="L66">
        <v>411.19</v>
      </c>
      <c r="M66" t="s">
        <v>16</v>
      </c>
    </row>
    <row r="67" spans="1:13" x14ac:dyDescent="0.25">
      <c r="A67" t="s">
        <v>119</v>
      </c>
      <c r="B67" s="1">
        <v>46062</v>
      </c>
      <c r="C67" t="str">
        <f t="shared" si="4"/>
        <v>February</v>
      </c>
      <c r="D67" t="s">
        <v>45</v>
      </c>
      <c r="E67" t="s">
        <v>66</v>
      </c>
      <c r="F67" t="s">
        <v>14</v>
      </c>
      <c r="G67" t="s">
        <v>15</v>
      </c>
      <c r="H67">
        <v>2</v>
      </c>
      <c r="I67">
        <v>169176.98</v>
      </c>
      <c r="J67">
        <v>338353.96</v>
      </c>
      <c r="K67">
        <f t="shared" si="5"/>
        <v>338353.96</v>
      </c>
      <c r="L67">
        <v>28447.45</v>
      </c>
      <c r="M67" t="s">
        <v>43</v>
      </c>
    </row>
    <row r="68" spans="1:13" x14ac:dyDescent="0.25">
      <c r="A68" t="s">
        <v>120</v>
      </c>
      <c r="B68" s="1">
        <v>46065</v>
      </c>
      <c r="C68" t="str">
        <f t="shared" si="4"/>
        <v>February</v>
      </c>
      <c r="D68" t="s">
        <v>56</v>
      </c>
      <c r="E68" t="s">
        <v>29</v>
      </c>
      <c r="F68" t="s">
        <v>14</v>
      </c>
      <c r="G68" t="s">
        <v>71</v>
      </c>
      <c r="H68">
        <v>4</v>
      </c>
      <c r="I68">
        <v>98789.83</v>
      </c>
      <c r="J68">
        <v>395159.32</v>
      </c>
      <c r="K68">
        <f t="shared" si="5"/>
        <v>395159.32</v>
      </c>
      <c r="L68">
        <v>92222.13</v>
      </c>
      <c r="M68" t="s">
        <v>21</v>
      </c>
    </row>
    <row r="69" spans="1:13" x14ac:dyDescent="0.25">
      <c r="A69" t="s">
        <v>121</v>
      </c>
      <c r="B69" s="1">
        <v>46196</v>
      </c>
      <c r="C69" t="str">
        <f t="shared" si="4"/>
        <v>June</v>
      </c>
      <c r="D69" t="s">
        <v>28</v>
      </c>
      <c r="E69" t="s">
        <v>24</v>
      </c>
      <c r="F69" t="s">
        <v>30</v>
      </c>
      <c r="G69" t="s">
        <v>42</v>
      </c>
      <c r="H69">
        <v>5</v>
      </c>
      <c r="I69">
        <v>10861.63</v>
      </c>
      <c r="J69">
        <v>54308.15</v>
      </c>
      <c r="K69">
        <f t="shared" si="5"/>
        <v>54308.149999999994</v>
      </c>
      <c r="L69">
        <v>7733.02</v>
      </c>
      <c r="M69" t="s">
        <v>21</v>
      </c>
    </row>
    <row r="70" spans="1:13" x14ac:dyDescent="0.25">
      <c r="A70" t="s">
        <v>122</v>
      </c>
      <c r="B70" s="1">
        <v>46198</v>
      </c>
      <c r="C70" t="str">
        <f t="shared" si="4"/>
        <v>June</v>
      </c>
      <c r="D70" t="s">
        <v>56</v>
      </c>
      <c r="E70" t="s">
        <v>29</v>
      </c>
      <c r="F70" t="s">
        <v>14</v>
      </c>
      <c r="G70" t="s">
        <v>71</v>
      </c>
      <c r="H70">
        <v>1</v>
      </c>
      <c r="I70">
        <v>98746.67</v>
      </c>
      <c r="J70">
        <v>98746.67</v>
      </c>
      <c r="K70">
        <f t="shared" si="5"/>
        <v>98746.67</v>
      </c>
      <c r="L70">
        <v>13855.79</v>
      </c>
      <c r="M70" t="s">
        <v>16</v>
      </c>
    </row>
    <row r="71" spans="1:13" x14ac:dyDescent="0.25">
      <c r="A71" t="s">
        <v>123</v>
      </c>
      <c r="B71" s="1">
        <v>46110</v>
      </c>
      <c r="C71" t="str">
        <f t="shared" si="4"/>
        <v>March</v>
      </c>
      <c r="D71" t="s">
        <v>18</v>
      </c>
      <c r="E71" t="s">
        <v>24</v>
      </c>
      <c r="F71" t="s">
        <v>30</v>
      </c>
      <c r="G71" t="s">
        <v>64</v>
      </c>
      <c r="H71">
        <v>6</v>
      </c>
      <c r="I71">
        <v>13637.6</v>
      </c>
      <c r="J71">
        <v>81825.600000000006</v>
      </c>
      <c r="K71">
        <f t="shared" si="5"/>
        <v>81825.600000000006</v>
      </c>
      <c r="L71">
        <v>14826.16</v>
      </c>
      <c r="M71" t="s">
        <v>43</v>
      </c>
    </row>
    <row r="72" spans="1:13" x14ac:dyDescent="0.25">
      <c r="A72" t="s">
        <v>124</v>
      </c>
      <c r="B72" s="1">
        <v>46204</v>
      </c>
      <c r="C72" t="str">
        <f t="shared" si="4"/>
        <v>July</v>
      </c>
      <c r="D72" t="s">
        <v>23</v>
      </c>
      <c r="E72" t="s">
        <v>24</v>
      </c>
      <c r="F72" t="s">
        <v>14</v>
      </c>
      <c r="G72" t="s">
        <v>39</v>
      </c>
      <c r="H72">
        <v>3</v>
      </c>
      <c r="I72">
        <v>56491.44</v>
      </c>
      <c r="J72">
        <v>169474.32</v>
      </c>
      <c r="K72">
        <f t="shared" si="5"/>
        <v>169474.32</v>
      </c>
      <c r="L72">
        <v>41646.870000000003</v>
      </c>
      <c r="M72" t="s">
        <v>21</v>
      </c>
    </row>
    <row r="73" spans="1:13" x14ac:dyDescent="0.25">
      <c r="A73" t="s">
        <v>125</v>
      </c>
      <c r="B73" s="1">
        <v>46091</v>
      </c>
      <c r="C73" t="str">
        <f t="shared" si="4"/>
        <v>March</v>
      </c>
      <c r="D73" t="s">
        <v>37</v>
      </c>
      <c r="E73" t="s">
        <v>48</v>
      </c>
      <c r="F73" t="s">
        <v>30</v>
      </c>
      <c r="G73" t="s">
        <v>64</v>
      </c>
      <c r="H73">
        <v>4</v>
      </c>
      <c r="I73">
        <v>13819.61</v>
      </c>
      <c r="J73">
        <v>55278.44</v>
      </c>
      <c r="K73">
        <f t="shared" si="5"/>
        <v>55278.44</v>
      </c>
      <c r="L73">
        <v>12504.27</v>
      </c>
      <c r="M73" t="s">
        <v>16</v>
      </c>
    </row>
    <row r="74" spans="1:13" x14ac:dyDescent="0.25">
      <c r="A74" t="s">
        <v>126</v>
      </c>
      <c r="B74" s="1">
        <v>46194</v>
      </c>
      <c r="C74" t="str">
        <f t="shared" si="4"/>
        <v>June</v>
      </c>
      <c r="D74" t="s">
        <v>28</v>
      </c>
      <c r="E74" t="s">
        <v>38</v>
      </c>
      <c r="F74" t="s">
        <v>30</v>
      </c>
      <c r="G74" t="s">
        <v>64</v>
      </c>
      <c r="H74">
        <v>2</v>
      </c>
      <c r="I74">
        <v>14701.33</v>
      </c>
      <c r="J74">
        <v>29402.66</v>
      </c>
      <c r="K74">
        <f t="shared" si="5"/>
        <v>29402.66</v>
      </c>
      <c r="L74">
        <v>5703.23</v>
      </c>
      <c r="M74" t="s">
        <v>16</v>
      </c>
    </row>
    <row r="75" spans="1:13" x14ac:dyDescent="0.25">
      <c r="A75" t="s">
        <v>127</v>
      </c>
      <c r="B75" s="1">
        <v>46089</v>
      </c>
      <c r="C75" t="str">
        <f t="shared" si="4"/>
        <v>March</v>
      </c>
      <c r="D75" t="s">
        <v>37</v>
      </c>
      <c r="E75" t="s">
        <v>52</v>
      </c>
      <c r="F75" t="s">
        <v>19</v>
      </c>
      <c r="G75" t="s">
        <v>49</v>
      </c>
      <c r="H75">
        <v>2</v>
      </c>
      <c r="I75">
        <v>1795.52</v>
      </c>
      <c r="J75">
        <v>3591.04</v>
      </c>
      <c r="K75">
        <f t="shared" si="5"/>
        <v>3591.04</v>
      </c>
      <c r="L75">
        <v>542.12</v>
      </c>
      <c r="M75" t="s">
        <v>26</v>
      </c>
    </row>
    <row r="76" spans="1:13" x14ac:dyDescent="0.25">
      <c r="A76" t="s">
        <v>128</v>
      </c>
      <c r="B76" s="1">
        <v>46165</v>
      </c>
      <c r="C76" t="str">
        <f t="shared" si="4"/>
        <v>May</v>
      </c>
      <c r="D76" t="s">
        <v>45</v>
      </c>
      <c r="E76" t="s">
        <v>41</v>
      </c>
      <c r="F76" t="s">
        <v>14</v>
      </c>
      <c r="G76" t="s">
        <v>71</v>
      </c>
      <c r="H76">
        <v>1</v>
      </c>
      <c r="I76">
        <v>90085.759999999995</v>
      </c>
      <c r="J76">
        <v>90085.759999999995</v>
      </c>
      <c r="K76">
        <f t="shared" si="5"/>
        <v>90085.759999999995</v>
      </c>
      <c r="L76">
        <v>14529.54</v>
      </c>
      <c r="M76" t="s">
        <v>43</v>
      </c>
    </row>
    <row r="77" spans="1:13" x14ac:dyDescent="0.25">
      <c r="A77" t="s">
        <v>129</v>
      </c>
      <c r="B77" s="1">
        <v>46085</v>
      </c>
      <c r="C77" t="str">
        <f t="shared" si="4"/>
        <v>March</v>
      </c>
      <c r="D77" t="s">
        <v>35</v>
      </c>
      <c r="E77" t="s">
        <v>38</v>
      </c>
      <c r="F77" t="s">
        <v>19</v>
      </c>
      <c r="G77" t="s">
        <v>20</v>
      </c>
      <c r="H77">
        <v>1</v>
      </c>
      <c r="I77">
        <v>1150.6199999999999</v>
      </c>
      <c r="J77">
        <v>1150.6199999999999</v>
      </c>
      <c r="K77">
        <f t="shared" si="5"/>
        <v>1150.6199999999999</v>
      </c>
      <c r="L77">
        <v>185.11</v>
      </c>
      <c r="M77" t="s">
        <v>43</v>
      </c>
    </row>
    <row r="78" spans="1:13" x14ac:dyDescent="0.25">
      <c r="A78" t="s">
        <v>130</v>
      </c>
      <c r="B78" s="1">
        <v>46139</v>
      </c>
      <c r="C78" t="str">
        <f t="shared" si="4"/>
        <v>April</v>
      </c>
      <c r="D78" t="s">
        <v>35</v>
      </c>
      <c r="E78" t="s">
        <v>52</v>
      </c>
      <c r="F78" t="s">
        <v>30</v>
      </c>
      <c r="G78" t="s">
        <v>64</v>
      </c>
      <c r="H78">
        <v>6</v>
      </c>
      <c r="I78">
        <v>14141.09</v>
      </c>
      <c r="J78">
        <v>84846.54</v>
      </c>
      <c r="K78">
        <f t="shared" si="5"/>
        <v>84846.540000000008</v>
      </c>
      <c r="L78">
        <v>12757.7</v>
      </c>
      <c r="M78" t="s">
        <v>26</v>
      </c>
    </row>
    <row r="79" spans="1:13" x14ac:dyDescent="0.25">
      <c r="A79" t="s">
        <v>131</v>
      </c>
      <c r="B79" s="1">
        <v>46160</v>
      </c>
      <c r="C79" t="str">
        <f t="shared" si="4"/>
        <v>May</v>
      </c>
      <c r="D79" t="s">
        <v>23</v>
      </c>
      <c r="E79" t="s">
        <v>48</v>
      </c>
      <c r="F79" t="s">
        <v>57</v>
      </c>
      <c r="G79" t="s">
        <v>67</v>
      </c>
      <c r="H79">
        <v>6</v>
      </c>
      <c r="I79">
        <v>39417.71</v>
      </c>
      <c r="J79">
        <v>236506.26</v>
      </c>
      <c r="K79">
        <f t="shared" si="5"/>
        <v>236506.26</v>
      </c>
      <c r="L79">
        <v>24575.59</v>
      </c>
      <c r="M79" t="s">
        <v>21</v>
      </c>
    </row>
    <row r="80" spans="1:13" x14ac:dyDescent="0.25">
      <c r="A80" t="s">
        <v>132</v>
      </c>
      <c r="B80" s="1">
        <v>46175</v>
      </c>
      <c r="C80" t="str">
        <f t="shared" si="4"/>
        <v>June</v>
      </c>
      <c r="D80" t="s">
        <v>35</v>
      </c>
      <c r="E80" t="s">
        <v>29</v>
      </c>
      <c r="F80" t="s">
        <v>19</v>
      </c>
      <c r="G80" t="s">
        <v>49</v>
      </c>
      <c r="H80">
        <v>6</v>
      </c>
      <c r="I80">
        <v>1832.25</v>
      </c>
      <c r="J80">
        <v>10993.5</v>
      </c>
      <c r="K80">
        <f t="shared" si="5"/>
        <v>10993.5</v>
      </c>
      <c r="L80">
        <v>2550.9499999999998</v>
      </c>
      <c r="M80" t="s">
        <v>21</v>
      </c>
    </row>
    <row r="81" spans="1:13" x14ac:dyDescent="0.25">
      <c r="A81" t="s">
        <v>133</v>
      </c>
      <c r="B81" s="1">
        <v>46159</v>
      </c>
      <c r="C81" t="str">
        <f t="shared" si="4"/>
        <v>May</v>
      </c>
      <c r="D81" t="s">
        <v>23</v>
      </c>
      <c r="E81" t="s">
        <v>52</v>
      </c>
      <c r="F81" t="s">
        <v>30</v>
      </c>
      <c r="G81" t="s">
        <v>31</v>
      </c>
      <c r="H81">
        <v>3</v>
      </c>
      <c r="I81">
        <v>6083.27</v>
      </c>
      <c r="J81">
        <v>18249.810000000001</v>
      </c>
      <c r="K81">
        <f t="shared" si="5"/>
        <v>18249.810000000001</v>
      </c>
      <c r="L81">
        <v>1511.63</v>
      </c>
      <c r="M81" t="s">
        <v>16</v>
      </c>
    </row>
    <row r="82" spans="1:13" x14ac:dyDescent="0.25">
      <c r="A82" t="s">
        <v>134</v>
      </c>
      <c r="B82" s="1">
        <v>46215</v>
      </c>
      <c r="C82" t="str">
        <f t="shared" si="4"/>
        <v>July</v>
      </c>
      <c r="D82" t="s">
        <v>88</v>
      </c>
      <c r="E82" t="s">
        <v>29</v>
      </c>
      <c r="F82" t="s">
        <v>14</v>
      </c>
      <c r="G82" t="s">
        <v>62</v>
      </c>
      <c r="H82">
        <v>6</v>
      </c>
      <c r="I82">
        <v>19598.72</v>
      </c>
      <c r="J82">
        <v>117592.32000000001</v>
      </c>
      <c r="K82">
        <f t="shared" si="5"/>
        <v>117592.32000000001</v>
      </c>
      <c r="L82">
        <v>24409.1</v>
      </c>
      <c r="M82" t="s">
        <v>16</v>
      </c>
    </row>
    <row r="83" spans="1:13" x14ac:dyDescent="0.25">
      <c r="A83" t="s">
        <v>135</v>
      </c>
      <c r="B83" s="1">
        <v>46036</v>
      </c>
      <c r="C83" t="str">
        <f t="shared" si="4"/>
        <v>January</v>
      </c>
      <c r="D83" t="s">
        <v>35</v>
      </c>
      <c r="E83" t="s">
        <v>41</v>
      </c>
      <c r="F83" t="s">
        <v>30</v>
      </c>
      <c r="G83" t="s">
        <v>64</v>
      </c>
      <c r="H83">
        <v>4</v>
      </c>
      <c r="I83">
        <v>13833.31</v>
      </c>
      <c r="J83">
        <v>55333.24</v>
      </c>
      <c r="K83">
        <f t="shared" si="5"/>
        <v>55333.24</v>
      </c>
      <c r="L83">
        <v>6466.95</v>
      </c>
      <c r="M83" t="s">
        <v>16</v>
      </c>
    </row>
    <row r="84" spans="1:13" x14ac:dyDescent="0.25">
      <c r="A84" t="s">
        <v>136</v>
      </c>
      <c r="B84" s="1">
        <v>46036</v>
      </c>
      <c r="C84" t="str">
        <f t="shared" si="4"/>
        <v>January</v>
      </c>
      <c r="D84" t="s">
        <v>23</v>
      </c>
      <c r="E84" t="s">
        <v>66</v>
      </c>
      <c r="F84" t="s">
        <v>14</v>
      </c>
      <c r="G84" t="s">
        <v>39</v>
      </c>
      <c r="H84">
        <v>4</v>
      </c>
      <c r="I84">
        <v>50314.9</v>
      </c>
      <c r="J84">
        <v>201259.6</v>
      </c>
      <c r="K84">
        <f t="shared" si="5"/>
        <v>201259.6</v>
      </c>
      <c r="L84">
        <v>41437.17</v>
      </c>
      <c r="M84" t="s">
        <v>26</v>
      </c>
    </row>
    <row r="85" spans="1:13" x14ac:dyDescent="0.25">
      <c r="A85" t="s">
        <v>137</v>
      </c>
      <c r="B85" s="1">
        <v>46175</v>
      </c>
      <c r="C85" t="str">
        <f t="shared" si="4"/>
        <v>June</v>
      </c>
      <c r="D85" t="s">
        <v>56</v>
      </c>
      <c r="E85" t="s">
        <v>48</v>
      </c>
      <c r="F85" t="s">
        <v>14</v>
      </c>
      <c r="G85" t="s">
        <v>71</v>
      </c>
      <c r="H85">
        <v>1</v>
      </c>
      <c r="I85">
        <v>96103.39</v>
      </c>
      <c r="J85">
        <v>96103.39</v>
      </c>
      <c r="K85">
        <f t="shared" si="5"/>
        <v>96103.39</v>
      </c>
      <c r="L85">
        <v>15687.42</v>
      </c>
      <c r="M85" t="s">
        <v>43</v>
      </c>
    </row>
    <row r="86" spans="1:13" x14ac:dyDescent="0.25">
      <c r="A86" t="s">
        <v>138</v>
      </c>
      <c r="B86" s="1">
        <v>46101</v>
      </c>
      <c r="C86" t="str">
        <f t="shared" si="4"/>
        <v>March</v>
      </c>
      <c r="D86" t="s">
        <v>56</v>
      </c>
      <c r="E86" t="s">
        <v>46</v>
      </c>
      <c r="F86" t="s">
        <v>19</v>
      </c>
      <c r="G86" t="s">
        <v>53</v>
      </c>
      <c r="H86">
        <v>3</v>
      </c>
      <c r="I86">
        <v>750.42</v>
      </c>
      <c r="J86">
        <v>2251.2600000000002</v>
      </c>
      <c r="K86">
        <f t="shared" si="5"/>
        <v>2251.2599999999998</v>
      </c>
      <c r="L86">
        <v>625.86</v>
      </c>
      <c r="M86" t="s">
        <v>16</v>
      </c>
    </row>
    <row r="87" spans="1:13" x14ac:dyDescent="0.25">
      <c r="A87" t="s">
        <v>139</v>
      </c>
      <c r="B87" s="1">
        <v>46067</v>
      </c>
      <c r="C87" t="str">
        <f t="shared" si="4"/>
        <v>February</v>
      </c>
      <c r="D87" t="s">
        <v>51</v>
      </c>
      <c r="E87" t="s">
        <v>29</v>
      </c>
      <c r="F87" t="s">
        <v>57</v>
      </c>
      <c r="G87" t="s">
        <v>58</v>
      </c>
      <c r="H87">
        <v>3</v>
      </c>
      <c r="I87">
        <v>67085.570000000007</v>
      </c>
      <c r="J87">
        <v>201256.71</v>
      </c>
      <c r="K87">
        <f t="shared" si="5"/>
        <v>201256.71000000002</v>
      </c>
      <c r="L87">
        <v>22422.3</v>
      </c>
      <c r="M87" t="s">
        <v>21</v>
      </c>
    </row>
    <row r="88" spans="1:13" x14ac:dyDescent="0.25">
      <c r="A88" t="s">
        <v>140</v>
      </c>
      <c r="B88" s="1">
        <v>46031</v>
      </c>
      <c r="C88" t="str">
        <f t="shared" si="4"/>
        <v>January</v>
      </c>
      <c r="D88" t="s">
        <v>45</v>
      </c>
      <c r="E88" t="s">
        <v>52</v>
      </c>
      <c r="F88" t="s">
        <v>14</v>
      </c>
      <c r="G88" t="s">
        <v>39</v>
      </c>
      <c r="H88">
        <v>4</v>
      </c>
      <c r="I88">
        <v>57083.08</v>
      </c>
      <c r="J88">
        <v>228332.32</v>
      </c>
      <c r="K88">
        <f t="shared" si="5"/>
        <v>228332.32</v>
      </c>
      <c r="L88">
        <v>39725.83</v>
      </c>
      <c r="M88" t="s">
        <v>26</v>
      </c>
    </row>
    <row r="89" spans="1:13" x14ac:dyDescent="0.25">
      <c r="A89" t="s">
        <v>141</v>
      </c>
      <c r="B89" s="1">
        <v>46225</v>
      </c>
      <c r="C89" t="str">
        <f t="shared" si="4"/>
        <v>July</v>
      </c>
      <c r="D89" t="s">
        <v>56</v>
      </c>
      <c r="E89" t="s">
        <v>48</v>
      </c>
      <c r="F89" t="s">
        <v>19</v>
      </c>
      <c r="G89" t="s">
        <v>20</v>
      </c>
      <c r="H89">
        <v>6</v>
      </c>
      <c r="I89">
        <v>1136.02</v>
      </c>
      <c r="J89">
        <v>6816.12</v>
      </c>
      <c r="K89">
        <f t="shared" si="5"/>
        <v>6816.12</v>
      </c>
      <c r="L89">
        <v>905.94</v>
      </c>
      <c r="M89" t="s">
        <v>43</v>
      </c>
    </row>
    <row r="90" spans="1:13" x14ac:dyDescent="0.25">
      <c r="A90" t="s">
        <v>142</v>
      </c>
      <c r="B90" s="1">
        <v>46059</v>
      </c>
      <c r="C90" t="str">
        <f t="shared" si="4"/>
        <v>February</v>
      </c>
      <c r="D90" t="s">
        <v>12</v>
      </c>
      <c r="E90" t="s">
        <v>46</v>
      </c>
      <c r="F90" t="s">
        <v>14</v>
      </c>
      <c r="G90" t="s">
        <v>71</v>
      </c>
      <c r="H90">
        <v>6</v>
      </c>
      <c r="I90">
        <v>88330.8</v>
      </c>
      <c r="J90">
        <v>529984.80000000005</v>
      </c>
      <c r="K90">
        <f t="shared" si="5"/>
        <v>529984.80000000005</v>
      </c>
      <c r="L90">
        <v>70555.02</v>
      </c>
      <c r="M90" t="s">
        <v>21</v>
      </c>
    </row>
    <row r="91" spans="1:13" x14ac:dyDescent="0.25">
      <c r="A91" t="s">
        <v>143</v>
      </c>
      <c r="B91" s="1">
        <v>46202</v>
      </c>
      <c r="C91" t="str">
        <f t="shared" si="4"/>
        <v>June</v>
      </c>
      <c r="D91" t="s">
        <v>28</v>
      </c>
      <c r="E91" t="s">
        <v>52</v>
      </c>
      <c r="F91" t="s">
        <v>30</v>
      </c>
      <c r="G91" t="s">
        <v>33</v>
      </c>
      <c r="H91">
        <v>4</v>
      </c>
      <c r="I91">
        <v>2312.1799999999998</v>
      </c>
      <c r="J91">
        <v>9248.7199999999993</v>
      </c>
      <c r="K91">
        <f t="shared" si="5"/>
        <v>9248.7199999999993</v>
      </c>
      <c r="L91">
        <v>2013.78</v>
      </c>
      <c r="M91" t="s">
        <v>43</v>
      </c>
    </row>
    <row r="92" spans="1:13" x14ac:dyDescent="0.25">
      <c r="A92" t="s">
        <v>144</v>
      </c>
      <c r="B92" s="1">
        <v>46105</v>
      </c>
      <c r="C92" t="str">
        <f t="shared" si="4"/>
        <v>March</v>
      </c>
      <c r="D92" t="s">
        <v>56</v>
      </c>
      <c r="E92" t="s">
        <v>52</v>
      </c>
      <c r="F92" t="s">
        <v>19</v>
      </c>
      <c r="G92" t="s">
        <v>20</v>
      </c>
      <c r="H92">
        <v>5</v>
      </c>
      <c r="I92">
        <v>1089.57</v>
      </c>
      <c r="J92">
        <v>5447.85</v>
      </c>
      <c r="K92">
        <f t="shared" si="5"/>
        <v>5447.8499999999995</v>
      </c>
      <c r="L92">
        <v>906.55</v>
      </c>
      <c r="M92" t="s">
        <v>16</v>
      </c>
    </row>
    <row r="93" spans="1:13" x14ac:dyDescent="0.25">
      <c r="A93" t="s">
        <v>145</v>
      </c>
      <c r="B93" s="1">
        <v>46028</v>
      </c>
      <c r="C93" t="str">
        <f t="shared" si="4"/>
        <v>January</v>
      </c>
      <c r="D93" t="s">
        <v>35</v>
      </c>
      <c r="E93" t="s">
        <v>46</v>
      </c>
      <c r="F93" t="s">
        <v>14</v>
      </c>
      <c r="G93" t="s">
        <v>71</v>
      </c>
      <c r="H93">
        <v>6</v>
      </c>
      <c r="I93">
        <v>101383.21</v>
      </c>
      <c r="J93">
        <v>608299.26</v>
      </c>
      <c r="K93">
        <f t="shared" si="5"/>
        <v>608299.26</v>
      </c>
      <c r="L93">
        <v>118642.58</v>
      </c>
      <c r="M93" t="s">
        <v>21</v>
      </c>
    </row>
    <row r="94" spans="1:13" x14ac:dyDescent="0.25">
      <c r="A94" t="s">
        <v>146</v>
      </c>
      <c r="B94" s="1">
        <v>46185</v>
      </c>
      <c r="C94" t="str">
        <f t="shared" si="4"/>
        <v>June</v>
      </c>
      <c r="D94" t="s">
        <v>88</v>
      </c>
      <c r="E94" t="s">
        <v>29</v>
      </c>
      <c r="F94" t="s">
        <v>19</v>
      </c>
      <c r="G94" t="s">
        <v>53</v>
      </c>
      <c r="H94">
        <v>3</v>
      </c>
      <c r="I94">
        <v>655.41</v>
      </c>
      <c r="J94">
        <v>1966.23</v>
      </c>
      <c r="K94">
        <f t="shared" si="5"/>
        <v>1966.23</v>
      </c>
      <c r="L94">
        <v>387.48</v>
      </c>
      <c r="M94" t="s">
        <v>43</v>
      </c>
    </row>
    <row r="95" spans="1:13" x14ac:dyDescent="0.25">
      <c r="A95" t="s">
        <v>147</v>
      </c>
      <c r="B95" s="1">
        <v>46064</v>
      </c>
      <c r="C95" t="str">
        <f t="shared" si="4"/>
        <v>February</v>
      </c>
      <c r="D95" t="s">
        <v>37</v>
      </c>
      <c r="E95" t="s">
        <v>24</v>
      </c>
      <c r="F95" t="s">
        <v>30</v>
      </c>
      <c r="G95" t="s">
        <v>64</v>
      </c>
      <c r="H95">
        <v>3</v>
      </c>
      <c r="I95">
        <v>13498.96</v>
      </c>
      <c r="J95">
        <v>40496.879999999997</v>
      </c>
      <c r="K95">
        <f t="shared" si="5"/>
        <v>40496.879999999997</v>
      </c>
      <c r="L95">
        <v>4086.94</v>
      </c>
      <c r="M95" t="s">
        <v>43</v>
      </c>
    </row>
    <row r="96" spans="1:13" x14ac:dyDescent="0.25">
      <c r="A96" t="s">
        <v>148</v>
      </c>
      <c r="B96" s="1">
        <v>46087</v>
      </c>
      <c r="C96" t="str">
        <f t="shared" si="4"/>
        <v>March</v>
      </c>
      <c r="D96" t="s">
        <v>37</v>
      </c>
      <c r="E96" t="s">
        <v>29</v>
      </c>
      <c r="F96" t="s">
        <v>30</v>
      </c>
      <c r="G96" t="s">
        <v>64</v>
      </c>
      <c r="H96">
        <v>5</v>
      </c>
      <c r="I96">
        <v>12702.75</v>
      </c>
      <c r="J96">
        <v>63513.75</v>
      </c>
      <c r="K96">
        <f t="shared" si="5"/>
        <v>63513.75</v>
      </c>
      <c r="L96">
        <v>6199.7</v>
      </c>
      <c r="M96" t="s">
        <v>43</v>
      </c>
    </row>
    <row r="97" spans="1:13" x14ac:dyDescent="0.25">
      <c r="A97" t="s">
        <v>149</v>
      </c>
      <c r="B97" s="1">
        <v>46182</v>
      </c>
      <c r="C97" t="str">
        <f t="shared" si="4"/>
        <v>June</v>
      </c>
      <c r="D97" t="s">
        <v>88</v>
      </c>
      <c r="E97" t="s">
        <v>41</v>
      </c>
      <c r="F97" t="s">
        <v>14</v>
      </c>
      <c r="G97" t="s">
        <v>39</v>
      </c>
      <c r="H97">
        <v>4</v>
      </c>
      <c r="I97">
        <v>50096.24</v>
      </c>
      <c r="J97">
        <v>200384.96</v>
      </c>
      <c r="K97">
        <f t="shared" si="5"/>
        <v>200384.96</v>
      </c>
      <c r="L97">
        <v>36808.29</v>
      </c>
      <c r="M97" t="s">
        <v>16</v>
      </c>
    </row>
    <row r="98" spans="1:13" x14ac:dyDescent="0.25">
      <c r="A98" t="s">
        <v>150</v>
      </c>
      <c r="B98" s="1">
        <v>46248</v>
      </c>
      <c r="C98" t="str">
        <f t="shared" ref="C98:C129" si="6">TEXT(B98,"mmmm")</f>
        <v>August</v>
      </c>
      <c r="D98" t="s">
        <v>88</v>
      </c>
      <c r="E98" t="s">
        <v>29</v>
      </c>
      <c r="F98" t="s">
        <v>57</v>
      </c>
      <c r="G98" t="s">
        <v>89</v>
      </c>
      <c r="H98">
        <v>5</v>
      </c>
      <c r="I98">
        <v>7872.72</v>
      </c>
      <c r="J98">
        <v>39363.599999999999</v>
      </c>
      <c r="K98">
        <f t="shared" ref="K98:K129" si="7">H98*I98</f>
        <v>39363.599999999999</v>
      </c>
      <c r="L98">
        <v>5416.66</v>
      </c>
      <c r="M98" t="s">
        <v>16</v>
      </c>
    </row>
    <row r="99" spans="1:13" x14ac:dyDescent="0.25">
      <c r="A99" t="s">
        <v>151</v>
      </c>
      <c r="B99" s="1">
        <v>46046</v>
      </c>
      <c r="C99" t="str">
        <f t="shared" si="6"/>
        <v>January</v>
      </c>
      <c r="D99" t="s">
        <v>45</v>
      </c>
      <c r="E99" t="s">
        <v>29</v>
      </c>
      <c r="F99" t="s">
        <v>57</v>
      </c>
      <c r="G99" t="s">
        <v>58</v>
      </c>
      <c r="H99">
        <v>3</v>
      </c>
      <c r="I99">
        <v>65660.91</v>
      </c>
      <c r="J99">
        <v>196982.73</v>
      </c>
      <c r="K99">
        <f t="shared" si="7"/>
        <v>196982.73</v>
      </c>
      <c r="L99">
        <v>37515.42</v>
      </c>
      <c r="M99" t="s">
        <v>43</v>
      </c>
    </row>
    <row r="100" spans="1:13" x14ac:dyDescent="0.25">
      <c r="A100" t="s">
        <v>152</v>
      </c>
      <c r="B100" s="1">
        <v>46203</v>
      </c>
      <c r="C100" t="str">
        <f t="shared" si="6"/>
        <v>June</v>
      </c>
      <c r="D100" t="s">
        <v>35</v>
      </c>
      <c r="E100" t="s">
        <v>24</v>
      </c>
      <c r="F100" t="s">
        <v>14</v>
      </c>
      <c r="G100" t="s">
        <v>71</v>
      </c>
      <c r="H100">
        <v>4</v>
      </c>
      <c r="I100">
        <v>103220.41</v>
      </c>
      <c r="J100">
        <v>412881.64</v>
      </c>
      <c r="K100">
        <f t="shared" si="7"/>
        <v>412881.64</v>
      </c>
      <c r="L100">
        <v>57131.39</v>
      </c>
      <c r="M100" t="s">
        <v>43</v>
      </c>
    </row>
    <row r="101" spans="1:13" x14ac:dyDescent="0.25">
      <c r="A101" t="s">
        <v>153</v>
      </c>
      <c r="B101" s="1">
        <v>46176</v>
      </c>
      <c r="C101" t="str">
        <f t="shared" si="6"/>
        <v>June</v>
      </c>
      <c r="D101" t="s">
        <v>51</v>
      </c>
      <c r="E101" t="s">
        <v>66</v>
      </c>
      <c r="F101" t="s">
        <v>19</v>
      </c>
      <c r="G101" t="s">
        <v>25</v>
      </c>
      <c r="H101">
        <v>4</v>
      </c>
      <c r="I101">
        <v>909.23</v>
      </c>
      <c r="J101">
        <v>3636.92</v>
      </c>
      <c r="K101">
        <f t="shared" si="7"/>
        <v>3636.92</v>
      </c>
      <c r="L101">
        <v>569.97</v>
      </c>
      <c r="M101" t="s">
        <v>16</v>
      </c>
    </row>
    <row r="102" spans="1:13" x14ac:dyDescent="0.25">
      <c r="A102" t="s">
        <v>154</v>
      </c>
      <c r="B102" s="1">
        <v>46233</v>
      </c>
      <c r="C102" t="str">
        <f t="shared" si="6"/>
        <v>July</v>
      </c>
      <c r="D102" t="s">
        <v>18</v>
      </c>
      <c r="E102" t="s">
        <v>52</v>
      </c>
      <c r="F102" t="s">
        <v>30</v>
      </c>
      <c r="G102" t="s">
        <v>64</v>
      </c>
      <c r="H102">
        <v>3</v>
      </c>
      <c r="I102">
        <v>15215.9</v>
      </c>
      <c r="J102">
        <v>45647.7</v>
      </c>
      <c r="K102">
        <f t="shared" si="7"/>
        <v>45647.7</v>
      </c>
      <c r="L102">
        <v>8287.23</v>
      </c>
      <c r="M102" t="s">
        <v>26</v>
      </c>
    </row>
    <row r="103" spans="1:13" x14ac:dyDescent="0.25">
      <c r="A103" t="s">
        <v>155</v>
      </c>
      <c r="B103" s="1">
        <v>46164</v>
      </c>
      <c r="C103" t="str">
        <f t="shared" si="6"/>
        <v>May</v>
      </c>
      <c r="D103" t="s">
        <v>51</v>
      </c>
      <c r="E103" t="s">
        <v>24</v>
      </c>
      <c r="F103" t="s">
        <v>19</v>
      </c>
      <c r="G103" t="s">
        <v>25</v>
      </c>
      <c r="H103">
        <v>4</v>
      </c>
      <c r="I103">
        <v>906.94</v>
      </c>
      <c r="J103">
        <v>3627.76</v>
      </c>
      <c r="K103">
        <f t="shared" si="7"/>
        <v>3627.76</v>
      </c>
      <c r="L103">
        <v>540.63</v>
      </c>
      <c r="M103" t="s">
        <v>43</v>
      </c>
    </row>
    <row r="104" spans="1:13" x14ac:dyDescent="0.25">
      <c r="A104" t="s">
        <v>156</v>
      </c>
      <c r="B104" s="1">
        <v>46242</v>
      </c>
      <c r="C104" t="str">
        <f t="shared" si="6"/>
        <v>August</v>
      </c>
      <c r="D104" t="s">
        <v>28</v>
      </c>
      <c r="E104" t="s">
        <v>46</v>
      </c>
      <c r="F104" t="s">
        <v>30</v>
      </c>
      <c r="G104" t="s">
        <v>31</v>
      </c>
      <c r="H104">
        <v>6</v>
      </c>
      <c r="I104">
        <v>6160.45</v>
      </c>
      <c r="J104">
        <v>36962.699999999997</v>
      </c>
      <c r="K104">
        <f t="shared" si="7"/>
        <v>36962.699999999997</v>
      </c>
      <c r="L104">
        <v>5788.14</v>
      </c>
      <c r="M104" t="s">
        <v>26</v>
      </c>
    </row>
    <row r="105" spans="1:13" x14ac:dyDescent="0.25">
      <c r="A105" t="s">
        <v>157</v>
      </c>
      <c r="B105" s="1">
        <v>46189</v>
      </c>
      <c r="C105" t="str">
        <f t="shared" si="6"/>
        <v>June</v>
      </c>
      <c r="D105" t="s">
        <v>23</v>
      </c>
      <c r="E105" t="s">
        <v>41</v>
      </c>
      <c r="F105" t="s">
        <v>19</v>
      </c>
      <c r="G105" t="s">
        <v>53</v>
      </c>
      <c r="H105">
        <v>4</v>
      </c>
      <c r="I105">
        <v>768.38</v>
      </c>
      <c r="J105">
        <v>3073.52</v>
      </c>
      <c r="K105">
        <f t="shared" si="7"/>
        <v>3073.52</v>
      </c>
      <c r="L105">
        <v>732.97</v>
      </c>
      <c r="M105" t="s">
        <v>16</v>
      </c>
    </row>
    <row r="106" spans="1:13" x14ac:dyDescent="0.25">
      <c r="A106" t="s">
        <v>158</v>
      </c>
      <c r="B106" s="1">
        <v>46157</v>
      </c>
      <c r="C106" t="str">
        <f t="shared" si="6"/>
        <v>May</v>
      </c>
      <c r="D106" t="s">
        <v>88</v>
      </c>
      <c r="E106" t="s">
        <v>46</v>
      </c>
      <c r="F106" t="s">
        <v>57</v>
      </c>
      <c r="G106" t="s">
        <v>89</v>
      </c>
      <c r="H106">
        <v>1</v>
      </c>
      <c r="I106">
        <v>9136.1200000000008</v>
      </c>
      <c r="J106">
        <v>9136.1200000000008</v>
      </c>
      <c r="K106">
        <f t="shared" si="7"/>
        <v>9136.1200000000008</v>
      </c>
      <c r="L106">
        <v>1535.43</v>
      </c>
      <c r="M106" t="s">
        <v>21</v>
      </c>
    </row>
    <row r="107" spans="1:13" x14ac:dyDescent="0.25">
      <c r="A107" t="s">
        <v>159</v>
      </c>
      <c r="B107" s="1">
        <v>46109</v>
      </c>
      <c r="C107" t="str">
        <f t="shared" si="6"/>
        <v>March</v>
      </c>
      <c r="D107" t="s">
        <v>56</v>
      </c>
      <c r="E107" t="s">
        <v>24</v>
      </c>
      <c r="F107" t="s">
        <v>19</v>
      </c>
      <c r="G107" t="s">
        <v>25</v>
      </c>
      <c r="H107">
        <v>1</v>
      </c>
      <c r="I107">
        <v>894.51</v>
      </c>
      <c r="J107">
        <v>894.51</v>
      </c>
      <c r="K107">
        <f t="shared" si="7"/>
        <v>894.51</v>
      </c>
      <c r="L107">
        <v>244.95</v>
      </c>
      <c r="M107" t="s">
        <v>16</v>
      </c>
    </row>
    <row r="108" spans="1:13" x14ac:dyDescent="0.25">
      <c r="A108" t="s">
        <v>160</v>
      </c>
      <c r="B108" s="1">
        <v>46147</v>
      </c>
      <c r="C108" t="str">
        <f t="shared" si="6"/>
        <v>May</v>
      </c>
      <c r="D108" t="s">
        <v>51</v>
      </c>
      <c r="E108" t="s">
        <v>46</v>
      </c>
      <c r="F108" t="s">
        <v>30</v>
      </c>
      <c r="G108" t="s">
        <v>64</v>
      </c>
      <c r="H108">
        <v>3</v>
      </c>
      <c r="I108">
        <v>14355.04</v>
      </c>
      <c r="J108">
        <v>43065.120000000003</v>
      </c>
      <c r="K108">
        <f t="shared" si="7"/>
        <v>43065.120000000003</v>
      </c>
      <c r="L108">
        <v>11088.74</v>
      </c>
      <c r="M108" t="s">
        <v>16</v>
      </c>
    </row>
    <row r="109" spans="1:13" x14ac:dyDescent="0.25">
      <c r="A109" t="s">
        <v>161</v>
      </c>
      <c r="B109" s="1">
        <v>46048</v>
      </c>
      <c r="C109" t="str">
        <f t="shared" si="6"/>
        <v>January</v>
      </c>
      <c r="D109" t="s">
        <v>12</v>
      </c>
      <c r="E109" t="s">
        <v>41</v>
      </c>
      <c r="F109" t="s">
        <v>57</v>
      </c>
      <c r="G109" t="s">
        <v>89</v>
      </c>
      <c r="H109">
        <v>2</v>
      </c>
      <c r="I109">
        <v>8919.5</v>
      </c>
      <c r="J109">
        <v>17839</v>
      </c>
      <c r="K109">
        <f t="shared" si="7"/>
        <v>17839</v>
      </c>
      <c r="L109">
        <v>2975.44</v>
      </c>
      <c r="M109" t="s">
        <v>21</v>
      </c>
    </row>
    <row r="110" spans="1:13" x14ac:dyDescent="0.25">
      <c r="A110" t="s">
        <v>162</v>
      </c>
      <c r="B110" s="1">
        <v>46114</v>
      </c>
      <c r="C110" t="str">
        <f t="shared" si="6"/>
        <v>April</v>
      </c>
      <c r="D110" t="s">
        <v>37</v>
      </c>
      <c r="E110" t="s">
        <v>24</v>
      </c>
      <c r="F110" t="s">
        <v>30</v>
      </c>
      <c r="G110" t="s">
        <v>42</v>
      </c>
      <c r="H110">
        <v>1</v>
      </c>
      <c r="I110">
        <v>11578.5</v>
      </c>
      <c r="J110">
        <v>11578.5</v>
      </c>
      <c r="K110">
        <f t="shared" si="7"/>
        <v>11578.5</v>
      </c>
      <c r="L110">
        <v>1056.24</v>
      </c>
      <c r="M110" t="s">
        <v>21</v>
      </c>
    </row>
    <row r="111" spans="1:13" x14ac:dyDescent="0.25">
      <c r="A111" t="s">
        <v>163</v>
      </c>
      <c r="B111" s="1">
        <v>46067</v>
      </c>
      <c r="C111" t="str">
        <f t="shared" si="6"/>
        <v>February</v>
      </c>
      <c r="D111" t="s">
        <v>12</v>
      </c>
      <c r="E111" t="s">
        <v>24</v>
      </c>
      <c r="F111" t="s">
        <v>57</v>
      </c>
      <c r="G111" t="s">
        <v>93</v>
      </c>
      <c r="H111">
        <v>5</v>
      </c>
      <c r="I111">
        <v>31090.799999999999</v>
      </c>
      <c r="J111">
        <v>155454</v>
      </c>
      <c r="K111">
        <f t="shared" si="7"/>
        <v>155454</v>
      </c>
      <c r="L111">
        <v>18034.43</v>
      </c>
      <c r="M111" t="s">
        <v>21</v>
      </c>
    </row>
    <row r="112" spans="1:13" x14ac:dyDescent="0.25">
      <c r="A112" t="s">
        <v>164</v>
      </c>
      <c r="B112" s="1">
        <v>46088</v>
      </c>
      <c r="C112" t="str">
        <f t="shared" si="6"/>
        <v>March</v>
      </c>
      <c r="D112" t="s">
        <v>18</v>
      </c>
      <c r="E112" t="s">
        <v>41</v>
      </c>
      <c r="F112" t="s">
        <v>19</v>
      </c>
      <c r="G112" t="s">
        <v>25</v>
      </c>
      <c r="H112">
        <v>2</v>
      </c>
      <c r="I112">
        <v>893.01</v>
      </c>
      <c r="J112">
        <v>1786.02</v>
      </c>
      <c r="K112">
        <f t="shared" si="7"/>
        <v>1786.02</v>
      </c>
      <c r="L112">
        <v>233.6</v>
      </c>
      <c r="M112" t="s">
        <v>26</v>
      </c>
    </row>
    <row r="113" spans="1:13" x14ac:dyDescent="0.25">
      <c r="A113" t="s">
        <v>165</v>
      </c>
      <c r="B113" s="1">
        <v>46099</v>
      </c>
      <c r="C113" t="str">
        <f t="shared" si="6"/>
        <v>March</v>
      </c>
      <c r="D113" t="s">
        <v>28</v>
      </c>
      <c r="E113" t="s">
        <v>52</v>
      </c>
      <c r="F113" t="s">
        <v>57</v>
      </c>
      <c r="G113" t="s">
        <v>67</v>
      </c>
      <c r="H113">
        <v>4</v>
      </c>
      <c r="I113">
        <v>45739.98</v>
      </c>
      <c r="J113">
        <v>182959.92</v>
      </c>
      <c r="K113">
        <f t="shared" si="7"/>
        <v>182959.92</v>
      </c>
      <c r="L113">
        <v>50776.93</v>
      </c>
      <c r="M113" t="s">
        <v>43</v>
      </c>
    </row>
    <row r="114" spans="1:13" x14ac:dyDescent="0.25">
      <c r="A114" t="s">
        <v>166</v>
      </c>
      <c r="B114" s="1">
        <v>46120</v>
      </c>
      <c r="C114" t="str">
        <f t="shared" si="6"/>
        <v>April</v>
      </c>
      <c r="D114" t="s">
        <v>56</v>
      </c>
      <c r="E114" t="s">
        <v>38</v>
      </c>
      <c r="F114" t="s">
        <v>30</v>
      </c>
      <c r="G114" t="s">
        <v>31</v>
      </c>
      <c r="H114">
        <v>4</v>
      </c>
      <c r="I114">
        <v>6959.34</v>
      </c>
      <c r="J114">
        <v>27837.360000000001</v>
      </c>
      <c r="K114">
        <f t="shared" si="7"/>
        <v>27837.360000000001</v>
      </c>
      <c r="L114">
        <v>2820.78</v>
      </c>
      <c r="M114" t="s">
        <v>26</v>
      </c>
    </row>
    <row r="115" spans="1:13" x14ac:dyDescent="0.25">
      <c r="A115" t="s">
        <v>167</v>
      </c>
      <c r="B115" s="1">
        <v>46244</v>
      </c>
      <c r="C115" t="str">
        <f t="shared" si="6"/>
        <v>August</v>
      </c>
      <c r="D115" t="s">
        <v>18</v>
      </c>
      <c r="E115" t="s">
        <v>41</v>
      </c>
      <c r="F115" t="s">
        <v>30</v>
      </c>
      <c r="G115" t="s">
        <v>42</v>
      </c>
      <c r="H115">
        <v>6</v>
      </c>
      <c r="I115">
        <v>11749.93</v>
      </c>
      <c r="J115">
        <v>70499.58</v>
      </c>
      <c r="K115">
        <f t="shared" si="7"/>
        <v>70499.58</v>
      </c>
      <c r="L115">
        <v>5754.15</v>
      </c>
      <c r="M115" t="s">
        <v>26</v>
      </c>
    </row>
    <row r="116" spans="1:13" x14ac:dyDescent="0.25">
      <c r="A116" t="s">
        <v>168</v>
      </c>
      <c r="B116" s="1">
        <v>46196</v>
      </c>
      <c r="C116" t="str">
        <f t="shared" si="6"/>
        <v>June</v>
      </c>
      <c r="D116" t="s">
        <v>23</v>
      </c>
      <c r="E116" t="s">
        <v>29</v>
      </c>
      <c r="F116" t="s">
        <v>57</v>
      </c>
      <c r="G116" t="s">
        <v>89</v>
      </c>
      <c r="H116">
        <v>2</v>
      </c>
      <c r="I116">
        <v>8732.25</v>
      </c>
      <c r="J116">
        <v>17464.5</v>
      </c>
      <c r="K116">
        <f t="shared" si="7"/>
        <v>17464.5</v>
      </c>
      <c r="L116">
        <v>3565.87</v>
      </c>
      <c r="M116" t="s">
        <v>16</v>
      </c>
    </row>
    <row r="117" spans="1:13" x14ac:dyDescent="0.25">
      <c r="A117" t="s">
        <v>169</v>
      </c>
      <c r="B117" s="1">
        <v>46046</v>
      </c>
      <c r="C117" t="str">
        <f t="shared" si="6"/>
        <v>January</v>
      </c>
      <c r="D117" t="s">
        <v>35</v>
      </c>
      <c r="E117" t="s">
        <v>38</v>
      </c>
      <c r="F117" t="s">
        <v>30</v>
      </c>
      <c r="G117" t="s">
        <v>64</v>
      </c>
      <c r="H117">
        <v>1</v>
      </c>
      <c r="I117">
        <v>14222.81</v>
      </c>
      <c r="J117">
        <v>14222.81</v>
      </c>
      <c r="K117">
        <f t="shared" si="7"/>
        <v>14222.81</v>
      </c>
      <c r="L117">
        <v>3221.07</v>
      </c>
      <c r="M117" t="s">
        <v>43</v>
      </c>
    </row>
    <row r="118" spans="1:13" x14ac:dyDescent="0.25">
      <c r="A118" t="s">
        <v>170</v>
      </c>
      <c r="B118" s="1">
        <v>46116</v>
      </c>
      <c r="C118" t="str">
        <f t="shared" si="6"/>
        <v>April</v>
      </c>
      <c r="D118" t="s">
        <v>51</v>
      </c>
      <c r="E118" t="s">
        <v>13</v>
      </c>
      <c r="F118" t="s">
        <v>57</v>
      </c>
      <c r="G118" t="s">
        <v>58</v>
      </c>
      <c r="H118">
        <v>2</v>
      </c>
      <c r="I118">
        <v>68724.67</v>
      </c>
      <c r="J118">
        <v>137449.34</v>
      </c>
      <c r="K118">
        <f t="shared" si="7"/>
        <v>137449.34</v>
      </c>
      <c r="L118">
        <v>35089.730000000003</v>
      </c>
      <c r="M118" t="s">
        <v>26</v>
      </c>
    </row>
    <row r="119" spans="1:13" x14ac:dyDescent="0.25">
      <c r="A119" t="s">
        <v>171</v>
      </c>
      <c r="B119" s="1">
        <v>46245</v>
      </c>
      <c r="C119" t="str">
        <f t="shared" si="6"/>
        <v>August</v>
      </c>
      <c r="D119" t="s">
        <v>37</v>
      </c>
      <c r="E119" t="s">
        <v>29</v>
      </c>
      <c r="F119" t="s">
        <v>57</v>
      </c>
      <c r="G119" t="s">
        <v>89</v>
      </c>
      <c r="H119">
        <v>4</v>
      </c>
      <c r="I119">
        <v>9294.5499999999993</v>
      </c>
      <c r="J119">
        <v>37178.199999999997</v>
      </c>
      <c r="K119">
        <f t="shared" si="7"/>
        <v>37178.199999999997</v>
      </c>
      <c r="L119">
        <v>5168.82</v>
      </c>
      <c r="M119" t="s">
        <v>43</v>
      </c>
    </row>
    <row r="120" spans="1:13" x14ac:dyDescent="0.25">
      <c r="A120" t="s">
        <v>172</v>
      </c>
      <c r="B120" s="1">
        <v>46124</v>
      </c>
      <c r="C120" t="str">
        <f t="shared" si="6"/>
        <v>April</v>
      </c>
      <c r="D120" t="s">
        <v>51</v>
      </c>
      <c r="E120" t="s">
        <v>38</v>
      </c>
      <c r="F120" t="s">
        <v>14</v>
      </c>
      <c r="G120" t="s">
        <v>71</v>
      </c>
      <c r="H120">
        <v>2</v>
      </c>
      <c r="I120">
        <v>101842.67</v>
      </c>
      <c r="J120">
        <v>203685.34</v>
      </c>
      <c r="K120">
        <f t="shared" si="7"/>
        <v>203685.34</v>
      </c>
      <c r="L120">
        <v>45797.29</v>
      </c>
      <c r="M120" t="s">
        <v>16</v>
      </c>
    </row>
    <row r="121" spans="1:13" x14ac:dyDescent="0.25">
      <c r="A121" t="s">
        <v>173</v>
      </c>
      <c r="B121" s="1">
        <v>46195</v>
      </c>
      <c r="C121" t="str">
        <f t="shared" si="6"/>
        <v>June</v>
      </c>
      <c r="D121" t="s">
        <v>35</v>
      </c>
      <c r="E121" t="s">
        <v>24</v>
      </c>
      <c r="F121" t="s">
        <v>19</v>
      </c>
      <c r="G121" t="s">
        <v>20</v>
      </c>
      <c r="H121">
        <v>3</v>
      </c>
      <c r="I121">
        <v>1208.78</v>
      </c>
      <c r="J121">
        <v>3626.34</v>
      </c>
      <c r="K121">
        <f t="shared" si="7"/>
        <v>3626.34</v>
      </c>
      <c r="L121">
        <v>619.95000000000005</v>
      </c>
      <c r="M121" t="s">
        <v>26</v>
      </c>
    </row>
    <row r="122" spans="1:13" x14ac:dyDescent="0.25">
      <c r="A122" t="s">
        <v>174</v>
      </c>
      <c r="B122" s="1">
        <v>46166</v>
      </c>
      <c r="C122" t="str">
        <f t="shared" si="6"/>
        <v>May</v>
      </c>
      <c r="D122" t="s">
        <v>37</v>
      </c>
      <c r="E122" t="s">
        <v>48</v>
      </c>
      <c r="F122" t="s">
        <v>14</v>
      </c>
      <c r="G122" t="s">
        <v>71</v>
      </c>
      <c r="H122">
        <v>4</v>
      </c>
      <c r="I122">
        <v>85975.47</v>
      </c>
      <c r="J122">
        <v>343901.88</v>
      </c>
      <c r="K122">
        <f t="shared" si="7"/>
        <v>343901.88</v>
      </c>
      <c r="L122">
        <v>88330.16</v>
      </c>
      <c r="M122" t="s">
        <v>16</v>
      </c>
    </row>
    <row r="123" spans="1:13" x14ac:dyDescent="0.25">
      <c r="A123" t="s">
        <v>175</v>
      </c>
      <c r="B123" s="1">
        <v>46032</v>
      </c>
      <c r="C123" t="str">
        <f t="shared" si="6"/>
        <v>January</v>
      </c>
      <c r="D123" t="s">
        <v>35</v>
      </c>
      <c r="E123" t="s">
        <v>41</v>
      </c>
      <c r="F123" t="s">
        <v>19</v>
      </c>
      <c r="G123" t="s">
        <v>49</v>
      </c>
      <c r="H123">
        <v>6</v>
      </c>
      <c r="I123">
        <v>1766.99</v>
      </c>
      <c r="J123">
        <v>10601.94</v>
      </c>
      <c r="K123">
        <f t="shared" si="7"/>
        <v>10601.94</v>
      </c>
      <c r="L123">
        <v>1144.54</v>
      </c>
      <c r="M123" t="s">
        <v>16</v>
      </c>
    </row>
    <row r="124" spans="1:13" x14ac:dyDescent="0.25">
      <c r="A124" t="s">
        <v>176</v>
      </c>
      <c r="B124" s="1">
        <v>46194</v>
      </c>
      <c r="C124" t="str">
        <f t="shared" si="6"/>
        <v>June</v>
      </c>
      <c r="D124" t="s">
        <v>51</v>
      </c>
      <c r="E124" t="s">
        <v>24</v>
      </c>
      <c r="F124" t="s">
        <v>14</v>
      </c>
      <c r="G124" t="s">
        <v>71</v>
      </c>
      <c r="H124">
        <v>5</v>
      </c>
      <c r="I124">
        <v>88077.62</v>
      </c>
      <c r="J124">
        <v>440388.1</v>
      </c>
      <c r="K124">
        <f t="shared" si="7"/>
        <v>440388.1</v>
      </c>
      <c r="L124">
        <v>75186.91</v>
      </c>
      <c r="M124" t="s">
        <v>21</v>
      </c>
    </row>
    <row r="125" spans="1:13" x14ac:dyDescent="0.25">
      <c r="A125" t="s">
        <v>177</v>
      </c>
      <c r="B125" s="1">
        <v>46094</v>
      </c>
      <c r="C125" t="str">
        <f t="shared" si="6"/>
        <v>March</v>
      </c>
      <c r="D125" t="s">
        <v>18</v>
      </c>
      <c r="E125" t="s">
        <v>38</v>
      </c>
      <c r="F125" t="s">
        <v>19</v>
      </c>
      <c r="G125" t="s">
        <v>20</v>
      </c>
      <c r="H125">
        <v>4</v>
      </c>
      <c r="I125">
        <v>1227.76</v>
      </c>
      <c r="J125">
        <v>4911.04</v>
      </c>
      <c r="K125">
        <f t="shared" si="7"/>
        <v>4911.04</v>
      </c>
      <c r="L125">
        <v>1315.23</v>
      </c>
      <c r="M125" t="s">
        <v>21</v>
      </c>
    </row>
    <row r="126" spans="1:13" x14ac:dyDescent="0.25">
      <c r="A126" t="s">
        <v>178</v>
      </c>
      <c r="B126" s="1">
        <v>46198</v>
      </c>
      <c r="C126" t="str">
        <f t="shared" si="6"/>
        <v>June</v>
      </c>
      <c r="D126" t="s">
        <v>37</v>
      </c>
      <c r="E126" t="s">
        <v>13</v>
      </c>
      <c r="F126" t="s">
        <v>19</v>
      </c>
      <c r="G126" t="s">
        <v>53</v>
      </c>
      <c r="H126">
        <v>2</v>
      </c>
      <c r="I126">
        <v>749.76</v>
      </c>
      <c r="J126">
        <v>1499.52</v>
      </c>
      <c r="K126">
        <f t="shared" si="7"/>
        <v>1499.52</v>
      </c>
      <c r="L126">
        <v>149.76</v>
      </c>
      <c r="M126" t="s">
        <v>26</v>
      </c>
    </row>
    <row r="127" spans="1:13" x14ac:dyDescent="0.25">
      <c r="A127" t="s">
        <v>179</v>
      </c>
      <c r="B127" s="1">
        <v>46240</v>
      </c>
      <c r="C127" t="str">
        <f t="shared" si="6"/>
        <v>August</v>
      </c>
      <c r="D127" t="s">
        <v>88</v>
      </c>
      <c r="E127" t="s">
        <v>29</v>
      </c>
      <c r="F127" t="s">
        <v>14</v>
      </c>
      <c r="G127" t="s">
        <v>39</v>
      </c>
      <c r="H127">
        <v>3</v>
      </c>
      <c r="I127">
        <v>51587.89</v>
      </c>
      <c r="J127">
        <v>154763.67000000001</v>
      </c>
      <c r="K127">
        <f t="shared" si="7"/>
        <v>154763.66999999998</v>
      </c>
      <c r="L127">
        <v>16162.27</v>
      </c>
      <c r="M127" t="s">
        <v>21</v>
      </c>
    </row>
    <row r="128" spans="1:13" x14ac:dyDescent="0.25">
      <c r="A128" t="s">
        <v>180</v>
      </c>
      <c r="B128" s="1">
        <v>46167</v>
      </c>
      <c r="C128" t="str">
        <f t="shared" si="6"/>
        <v>May</v>
      </c>
      <c r="D128" t="s">
        <v>45</v>
      </c>
      <c r="E128" t="s">
        <v>29</v>
      </c>
      <c r="F128" t="s">
        <v>14</v>
      </c>
      <c r="G128" t="s">
        <v>15</v>
      </c>
      <c r="H128">
        <v>3</v>
      </c>
      <c r="I128">
        <v>170768.48</v>
      </c>
      <c r="J128">
        <v>512305.44</v>
      </c>
      <c r="K128">
        <f t="shared" si="7"/>
        <v>512305.44000000006</v>
      </c>
      <c r="L128">
        <v>53886.73</v>
      </c>
      <c r="M128" t="s">
        <v>21</v>
      </c>
    </row>
    <row r="129" spans="1:13" x14ac:dyDescent="0.25">
      <c r="A129" t="s">
        <v>181</v>
      </c>
      <c r="B129" s="1">
        <v>46175</v>
      </c>
      <c r="C129" t="str">
        <f t="shared" si="6"/>
        <v>June</v>
      </c>
      <c r="D129" t="s">
        <v>18</v>
      </c>
      <c r="E129" t="s">
        <v>52</v>
      </c>
      <c r="F129" t="s">
        <v>57</v>
      </c>
      <c r="G129" t="s">
        <v>58</v>
      </c>
      <c r="H129">
        <v>3</v>
      </c>
      <c r="I129">
        <v>68566.789999999994</v>
      </c>
      <c r="J129">
        <v>205700.37</v>
      </c>
      <c r="K129">
        <f t="shared" si="7"/>
        <v>205700.37</v>
      </c>
      <c r="L129">
        <v>48900.89</v>
      </c>
      <c r="M129" t="s">
        <v>21</v>
      </c>
    </row>
    <row r="130" spans="1:13" x14ac:dyDescent="0.25">
      <c r="A130" t="s">
        <v>182</v>
      </c>
      <c r="B130" s="1">
        <v>46056</v>
      </c>
      <c r="C130" t="str">
        <f t="shared" ref="C130:C161" si="8">TEXT(B130,"mmmm")</f>
        <v>February</v>
      </c>
      <c r="D130" t="s">
        <v>18</v>
      </c>
      <c r="E130" t="s">
        <v>38</v>
      </c>
      <c r="F130" t="s">
        <v>57</v>
      </c>
      <c r="G130" t="s">
        <v>89</v>
      </c>
      <c r="H130">
        <v>2</v>
      </c>
      <c r="I130">
        <v>7836.87</v>
      </c>
      <c r="J130">
        <v>15673.74</v>
      </c>
      <c r="K130">
        <f t="shared" ref="K130:K151" si="9">H130*I130</f>
        <v>15673.74</v>
      </c>
      <c r="L130">
        <v>3969.99</v>
      </c>
      <c r="M130" t="s">
        <v>21</v>
      </c>
    </row>
    <row r="131" spans="1:13" x14ac:dyDescent="0.25">
      <c r="A131" t="s">
        <v>183</v>
      </c>
      <c r="B131" s="1">
        <v>46130</v>
      </c>
      <c r="C131" t="str">
        <f t="shared" si="8"/>
        <v>April</v>
      </c>
      <c r="D131" t="s">
        <v>51</v>
      </c>
      <c r="E131" t="s">
        <v>29</v>
      </c>
      <c r="F131" t="s">
        <v>30</v>
      </c>
      <c r="G131" t="s">
        <v>42</v>
      </c>
      <c r="H131">
        <v>2</v>
      </c>
      <c r="I131">
        <v>11436.88</v>
      </c>
      <c r="J131">
        <v>22873.759999999998</v>
      </c>
      <c r="K131">
        <f t="shared" si="9"/>
        <v>22873.759999999998</v>
      </c>
      <c r="L131">
        <v>2409.79</v>
      </c>
      <c r="M131" t="s">
        <v>16</v>
      </c>
    </row>
    <row r="132" spans="1:13" x14ac:dyDescent="0.25">
      <c r="A132" t="s">
        <v>184</v>
      </c>
      <c r="B132" s="1">
        <v>46151</v>
      </c>
      <c r="C132" t="str">
        <f t="shared" si="8"/>
        <v>May</v>
      </c>
      <c r="D132" t="s">
        <v>45</v>
      </c>
      <c r="E132" t="s">
        <v>46</v>
      </c>
      <c r="F132" t="s">
        <v>19</v>
      </c>
      <c r="G132" t="s">
        <v>53</v>
      </c>
      <c r="H132">
        <v>3</v>
      </c>
      <c r="I132">
        <v>701.85</v>
      </c>
      <c r="J132">
        <v>2105.5500000000002</v>
      </c>
      <c r="K132">
        <f t="shared" si="9"/>
        <v>2105.5500000000002</v>
      </c>
      <c r="L132">
        <v>214.37</v>
      </c>
      <c r="M132" t="s">
        <v>26</v>
      </c>
    </row>
    <row r="133" spans="1:13" x14ac:dyDescent="0.25">
      <c r="A133" t="s">
        <v>185</v>
      </c>
      <c r="B133" s="1">
        <v>46132</v>
      </c>
      <c r="C133" t="str">
        <f t="shared" si="8"/>
        <v>April</v>
      </c>
      <c r="D133" t="s">
        <v>12</v>
      </c>
      <c r="E133" t="s">
        <v>41</v>
      </c>
      <c r="F133" t="s">
        <v>19</v>
      </c>
      <c r="G133" t="s">
        <v>20</v>
      </c>
      <c r="H133">
        <v>1</v>
      </c>
      <c r="I133">
        <v>1319.66</v>
      </c>
      <c r="J133">
        <v>1319.66</v>
      </c>
      <c r="K133">
        <f t="shared" si="9"/>
        <v>1319.66</v>
      </c>
      <c r="L133">
        <v>329.2</v>
      </c>
      <c r="M133" t="s">
        <v>43</v>
      </c>
    </row>
    <row r="134" spans="1:13" x14ac:dyDescent="0.25">
      <c r="A134" t="s">
        <v>186</v>
      </c>
      <c r="B134" s="1">
        <v>46093</v>
      </c>
      <c r="C134" t="str">
        <f t="shared" si="8"/>
        <v>March</v>
      </c>
      <c r="D134" t="s">
        <v>56</v>
      </c>
      <c r="E134" t="s">
        <v>13</v>
      </c>
      <c r="F134" t="s">
        <v>14</v>
      </c>
      <c r="G134" t="s">
        <v>15</v>
      </c>
      <c r="H134">
        <v>3</v>
      </c>
      <c r="I134">
        <v>183898.71</v>
      </c>
      <c r="J134">
        <v>551696.13</v>
      </c>
      <c r="K134">
        <f t="shared" si="9"/>
        <v>551696.13</v>
      </c>
      <c r="L134">
        <v>51383.02</v>
      </c>
      <c r="M134" t="s">
        <v>26</v>
      </c>
    </row>
    <row r="135" spans="1:13" x14ac:dyDescent="0.25">
      <c r="A135" t="s">
        <v>187</v>
      </c>
      <c r="B135" s="1">
        <v>46226</v>
      </c>
      <c r="C135" t="str">
        <f t="shared" si="8"/>
        <v>July</v>
      </c>
      <c r="D135" t="s">
        <v>12</v>
      </c>
      <c r="E135" t="s">
        <v>13</v>
      </c>
      <c r="F135" t="s">
        <v>19</v>
      </c>
      <c r="G135" t="s">
        <v>49</v>
      </c>
      <c r="H135">
        <v>4</v>
      </c>
      <c r="I135">
        <v>1802</v>
      </c>
      <c r="J135">
        <v>7208</v>
      </c>
      <c r="K135">
        <f t="shared" si="9"/>
        <v>7208</v>
      </c>
      <c r="L135">
        <v>1196.82</v>
      </c>
      <c r="M135" t="s">
        <v>21</v>
      </c>
    </row>
    <row r="136" spans="1:13" x14ac:dyDescent="0.25">
      <c r="A136" t="s">
        <v>188</v>
      </c>
      <c r="B136" s="1">
        <v>46125</v>
      </c>
      <c r="C136" t="str">
        <f t="shared" si="8"/>
        <v>April</v>
      </c>
      <c r="D136" t="s">
        <v>28</v>
      </c>
      <c r="E136" t="s">
        <v>29</v>
      </c>
      <c r="F136" t="s">
        <v>19</v>
      </c>
      <c r="G136" t="s">
        <v>53</v>
      </c>
      <c r="H136">
        <v>2</v>
      </c>
      <c r="I136">
        <v>687.93</v>
      </c>
      <c r="J136">
        <v>1375.86</v>
      </c>
      <c r="K136">
        <f t="shared" si="9"/>
        <v>1375.86</v>
      </c>
      <c r="L136">
        <v>337.75</v>
      </c>
      <c r="M136" t="s">
        <v>26</v>
      </c>
    </row>
    <row r="137" spans="1:13" x14ac:dyDescent="0.25">
      <c r="A137" t="s">
        <v>189</v>
      </c>
      <c r="B137" s="1">
        <v>46198</v>
      </c>
      <c r="C137" t="str">
        <f t="shared" si="8"/>
        <v>June</v>
      </c>
      <c r="D137" t="s">
        <v>88</v>
      </c>
      <c r="E137" t="s">
        <v>29</v>
      </c>
      <c r="F137" t="s">
        <v>19</v>
      </c>
      <c r="G137" t="s">
        <v>49</v>
      </c>
      <c r="H137">
        <v>6</v>
      </c>
      <c r="I137">
        <v>1711.76</v>
      </c>
      <c r="J137">
        <v>10270.56</v>
      </c>
      <c r="K137">
        <f t="shared" si="9"/>
        <v>10270.56</v>
      </c>
      <c r="L137">
        <v>2780.43</v>
      </c>
      <c r="M137" t="s">
        <v>16</v>
      </c>
    </row>
    <row r="138" spans="1:13" x14ac:dyDescent="0.25">
      <c r="A138" t="s">
        <v>190</v>
      </c>
      <c r="B138" s="1">
        <v>46230</v>
      </c>
      <c r="C138" t="str">
        <f t="shared" si="8"/>
        <v>July</v>
      </c>
      <c r="D138" t="s">
        <v>23</v>
      </c>
      <c r="E138" t="s">
        <v>13</v>
      </c>
      <c r="F138" t="s">
        <v>14</v>
      </c>
      <c r="G138" t="s">
        <v>15</v>
      </c>
      <c r="H138">
        <v>4</v>
      </c>
      <c r="I138">
        <v>165476.32</v>
      </c>
      <c r="J138">
        <v>661905.28</v>
      </c>
      <c r="K138">
        <f t="shared" si="9"/>
        <v>661905.28</v>
      </c>
      <c r="L138">
        <v>150755.01999999999</v>
      </c>
      <c r="M138" t="s">
        <v>16</v>
      </c>
    </row>
    <row r="139" spans="1:13" x14ac:dyDescent="0.25">
      <c r="A139" t="s">
        <v>191</v>
      </c>
      <c r="B139" s="1">
        <v>46215</v>
      </c>
      <c r="C139" t="str">
        <f t="shared" si="8"/>
        <v>July</v>
      </c>
      <c r="D139" t="s">
        <v>28</v>
      </c>
      <c r="E139" t="s">
        <v>46</v>
      </c>
      <c r="F139" t="s">
        <v>30</v>
      </c>
      <c r="G139" t="s">
        <v>42</v>
      </c>
      <c r="H139">
        <v>4</v>
      </c>
      <c r="I139">
        <v>11648.64</v>
      </c>
      <c r="J139">
        <v>46594.559999999998</v>
      </c>
      <c r="K139">
        <f t="shared" si="9"/>
        <v>46594.559999999998</v>
      </c>
      <c r="L139">
        <v>9927.81</v>
      </c>
      <c r="M139" t="s">
        <v>26</v>
      </c>
    </row>
    <row r="140" spans="1:13" x14ac:dyDescent="0.25">
      <c r="A140" t="s">
        <v>192</v>
      </c>
      <c r="B140" s="1">
        <v>46191</v>
      </c>
      <c r="C140" t="str">
        <f t="shared" si="8"/>
        <v>June</v>
      </c>
      <c r="D140" t="s">
        <v>88</v>
      </c>
      <c r="E140" t="s">
        <v>48</v>
      </c>
      <c r="F140" t="s">
        <v>30</v>
      </c>
      <c r="G140" t="s">
        <v>33</v>
      </c>
      <c r="H140">
        <v>1</v>
      </c>
      <c r="I140">
        <v>2538.96</v>
      </c>
      <c r="J140">
        <v>2538.96</v>
      </c>
      <c r="K140">
        <f t="shared" si="9"/>
        <v>2538.96</v>
      </c>
      <c r="L140">
        <v>311.14</v>
      </c>
      <c r="M140" t="s">
        <v>16</v>
      </c>
    </row>
    <row r="141" spans="1:13" x14ac:dyDescent="0.25">
      <c r="A141" t="s">
        <v>193</v>
      </c>
      <c r="B141" s="1">
        <v>46229</v>
      </c>
      <c r="C141" t="str">
        <f t="shared" si="8"/>
        <v>July</v>
      </c>
      <c r="D141" t="s">
        <v>28</v>
      </c>
      <c r="E141" t="s">
        <v>13</v>
      </c>
      <c r="F141" t="s">
        <v>30</v>
      </c>
      <c r="G141" t="s">
        <v>33</v>
      </c>
      <c r="H141">
        <v>1</v>
      </c>
      <c r="I141">
        <v>2631.3</v>
      </c>
      <c r="J141">
        <v>2631.3</v>
      </c>
      <c r="K141">
        <f t="shared" si="9"/>
        <v>2631.3</v>
      </c>
      <c r="L141">
        <v>512.63</v>
      </c>
      <c r="M141" t="s">
        <v>16</v>
      </c>
    </row>
    <row r="142" spans="1:13" x14ac:dyDescent="0.25">
      <c r="A142" t="s">
        <v>194</v>
      </c>
      <c r="B142" s="1">
        <v>46109</v>
      </c>
      <c r="C142" t="str">
        <f t="shared" si="8"/>
        <v>March</v>
      </c>
      <c r="D142" t="s">
        <v>37</v>
      </c>
      <c r="E142" t="s">
        <v>46</v>
      </c>
      <c r="F142" t="s">
        <v>30</v>
      </c>
      <c r="G142" t="s">
        <v>42</v>
      </c>
      <c r="H142">
        <v>2</v>
      </c>
      <c r="I142">
        <v>11455.85</v>
      </c>
      <c r="J142">
        <v>22911.7</v>
      </c>
      <c r="K142">
        <f t="shared" si="9"/>
        <v>22911.7</v>
      </c>
      <c r="L142">
        <v>5326.56</v>
      </c>
      <c r="M142" t="s">
        <v>21</v>
      </c>
    </row>
    <row r="143" spans="1:13" x14ac:dyDescent="0.25">
      <c r="A143" t="s">
        <v>195</v>
      </c>
      <c r="B143" s="1">
        <v>46030</v>
      </c>
      <c r="C143" t="str">
        <f t="shared" si="8"/>
        <v>January</v>
      </c>
      <c r="D143" t="s">
        <v>12</v>
      </c>
      <c r="E143" t="s">
        <v>13</v>
      </c>
      <c r="F143" t="s">
        <v>57</v>
      </c>
      <c r="G143" t="s">
        <v>93</v>
      </c>
      <c r="H143">
        <v>1</v>
      </c>
      <c r="I143">
        <v>27851.25</v>
      </c>
      <c r="J143">
        <v>27851.25</v>
      </c>
      <c r="K143">
        <f t="shared" si="9"/>
        <v>27851.25</v>
      </c>
      <c r="L143">
        <v>5755.03</v>
      </c>
      <c r="M143" t="s">
        <v>21</v>
      </c>
    </row>
    <row r="144" spans="1:13" x14ac:dyDescent="0.25">
      <c r="A144" t="s">
        <v>196</v>
      </c>
      <c r="B144" s="1">
        <v>46207</v>
      </c>
      <c r="C144" t="str">
        <f t="shared" si="8"/>
        <v>July</v>
      </c>
      <c r="D144" t="s">
        <v>37</v>
      </c>
      <c r="E144" t="s">
        <v>29</v>
      </c>
      <c r="F144" t="s">
        <v>19</v>
      </c>
      <c r="G144" t="s">
        <v>53</v>
      </c>
      <c r="H144">
        <v>4</v>
      </c>
      <c r="I144">
        <v>677.73</v>
      </c>
      <c r="J144">
        <v>2710.92</v>
      </c>
      <c r="K144">
        <f t="shared" si="9"/>
        <v>2710.92</v>
      </c>
      <c r="L144">
        <v>417.51</v>
      </c>
      <c r="M144" t="s">
        <v>16</v>
      </c>
    </row>
    <row r="145" spans="1:13" x14ac:dyDescent="0.25">
      <c r="A145" t="s">
        <v>197</v>
      </c>
      <c r="B145" s="1">
        <v>46136</v>
      </c>
      <c r="C145" t="str">
        <f t="shared" si="8"/>
        <v>April</v>
      </c>
      <c r="D145" t="s">
        <v>28</v>
      </c>
      <c r="E145" t="s">
        <v>41</v>
      </c>
      <c r="F145" t="s">
        <v>57</v>
      </c>
      <c r="G145" t="s">
        <v>58</v>
      </c>
      <c r="H145">
        <v>5</v>
      </c>
      <c r="I145">
        <v>59146.91</v>
      </c>
      <c r="J145">
        <v>295734.55</v>
      </c>
      <c r="K145">
        <f t="shared" si="9"/>
        <v>295734.55000000005</v>
      </c>
      <c r="L145">
        <v>28484.06</v>
      </c>
      <c r="M145" t="s">
        <v>43</v>
      </c>
    </row>
    <row r="146" spans="1:13" x14ac:dyDescent="0.25">
      <c r="A146" t="s">
        <v>198</v>
      </c>
      <c r="B146" s="1">
        <v>46133</v>
      </c>
      <c r="C146" t="str">
        <f t="shared" si="8"/>
        <v>April</v>
      </c>
      <c r="D146" t="s">
        <v>12</v>
      </c>
      <c r="E146" t="s">
        <v>52</v>
      </c>
      <c r="F146" t="s">
        <v>19</v>
      </c>
      <c r="G146" t="s">
        <v>49</v>
      </c>
      <c r="H146">
        <v>2</v>
      </c>
      <c r="I146">
        <v>1891.78</v>
      </c>
      <c r="J146">
        <v>3783.56</v>
      </c>
      <c r="K146">
        <f t="shared" si="9"/>
        <v>3783.56</v>
      </c>
      <c r="L146">
        <v>388.81</v>
      </c>
      <c r="M146" t="s">
        <v>43</v>
      </c>
    </row>
    <row r="147" spans="1:13" x14ac:dyDescent="0.25">
      <c r="A147" t="s">
        <v>199</v>
      </c>
      <c r="B147" s="1">
        <v>46024</v>
      </c>
      <c r="C147" t="str">
        <f t="shared" si="8"/>
        <v>January</v>
      </c>
      <c r="D147" t="s">
        <v>45</v>
      </c>
      <c r="E147" t="s">
        <v>52</v>
      </c>
      <c r="F147" t="s">
        <v>30</v>
      </c>
      <c r="G147" t="s">
        <v>42</v>
      </c>
      <c r="H147">
        <v>2</v>
      </c>
      <c r="I147">
        <v>11748.63</v>
      </c>
      <c r="J147">
        <v>23497.26</v>
      </c>
      <c r="K147">
        <f t="shared" si="9"/>
        <v>23497.26</v>
      </c>
      <c r="L147">
        <v>4696.28</v>
      </c>
      <c r="M147" t="s">
        <v>21</v>
      </c>
    </row>
    <row r="148" spans="1:13" x14ac:dyDescent="0.25">
      <c r="A148" t="s">
        <v>200</v>
      </c>
      <c r="B148" s="1">
        <v>46214</v>
      </c>
      <c r="C148" t="str">
        <f t="shared" si="8"/>
        <v>July</v>
      </c>
      <c r="D148" t="s">
        <v>28</v>
      </c>
      <c r="E148" t="s">
        <v>66</v>
      </c>
      <c r="F148" t="s">
        <v>57</v>
      </c>
      <c r="G148" t="s">
        <v>89</v>
      </c>
      <c r="H148">
        <v>3</v>
      </c>
      <c r="I148">
        <v>8207.81</v>
      </c>
      <c r="J148">
        <v>24623.43</v>
      </c>
      <c r="K148">
        <f t="shared" si="9"/>
        <v>24623.43</v>
      </c>
      <c r="L148">
        <v>2007.94</v>
      </c>
      <c r="M148" t="s">
        <v>21</v>
      </c>
    </row>
    <row r="149" spans="1:13" x14ac:dyDescent="0.25">
      <c r="A149" t="s">
        <v>201</v>
      </c>
      <c r="B149" s="1">
        <v>46113</v>
      </c>
      <c r="C149" t="str">
        <f t="shared" si="8"/>
        <v>April</v>
      </c>
      <c r="D149" t="s">
        <v>12</v>
      </c>
      <c r="E149" t="s">
        <v>24</v>
      </c>
      <c r="F149" t="s">
        <v>19</v>
      </c>
      <c r="G149" t="s">
        <v>25</v>
      </c>
      <c r="H149">
        <v>5</v>
      </c>
      <c r="I149">
        <v>910.57</v>
      </c>
      <c r="J149">
        <v>4552.8500000000004</v>
      </c>
      <c r="K149">
        <f t="shared" si="9"/>
        <v>4552.8500000000004</v>
      </c>
      <c r="L149">
        <v>972.53</v>
      </c>
      <c r="M149" t="s">
        <v>16</v>
      </c>
    </row>
    <row r="150" spans="1:13" x14ac:dyDescent="0.25">
      <c r="A150" t="s">
        <v>202</v>
      </c>
      <c r="B150" s="1">
        <v>46170</v>
      </c>
      <c r="C150" t="str">
        <f t="shared" si="8"/>
        <v>May</v>
      </c>
      <c r="D150" t="s">
        <v>28</v>
      </c>
      <c r="E150" t="s">
        <v>24</v>
      </c>
      <c r="F150" t="s">
        <v>19</v>
      </c>
      <c r="G150" t="s">
        <v>20</v>
      </c>
      <c r="H150">
        <v>4</v>
      </c>
      <c r="I150">
        <v>1301.08</v>
      </c>
      <c r="J150">
        <v>5204.32</v>
      </c>
      <c r="K150">
        <f t="shared" si="9"/>
        <v>5204.32</v>
      </c>
      <c r="L150">
        <v>1313.68</v>
      </c>
      <c r="M150" t="s">
        <v>43</v>
      </c>
    </row>
    <row r="151" spans="1:13" x14ac:dyDescent="0.25">
      <c r="A151" t="s">
        <v>203</v>
      </c>
      <c r="B151" s="1">
        <v>46228</v>
      </c>
      <c r="C151" t="str">
        <f t="shared" si="8"/>
        <v>July</v>
      </c>
      <c r="D151" t="s">
        <v>56</v>
      </c>
      <c r="E151" t="s">
        <v>41</v>
      </c>
      <c r="F151" t="s">
        <v>30</v>
      </c>
      <c r="G151" t="s">
        <v>42</v>
      </c>
      <c r="H151">
        <v>4</v>
      </c>
      <c r="I151">
        <v>10850.06</v>
      </c>
      <c r="J151">
        <v>43400.24</v>
      </c>
      <c r="K151">
        <f t="shared" si="9"/>
        <v>43400.24</v>
      </c>
      <c r="L151">
        <v>6291.02</v>
      </c>
      <c r="M151" t="s">
        <v>26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Top10Products</vt:lpstr>
      <vt:lpstr>Category</vt:lpstr>
      <vt:lpstr>Sheet5</vt:lpstr>
      <vt:lpstr>Reagon</vt:lpstr>
      <vt:lpstr>Sheet7</vt:lpstr>
      <vt:lpstr>Sheet8</vt:lpstr>
      <vt:lpstr>Sheet9</vt:lpstr>
      <vt:lpstr>Sheet11</vt:lpstr>
      <vt:lpstr>Monthly Sales</vt:lpstr>
      <vt:lpstr>Dashboad</vt:lpstr>
      <vt:lpstr>Sheet12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2026-08-23T16:54:25Z</dcterms:created>
  <dcterms:modified xsi:type="dcterms:W3CDTF">2026-09-14T17:02:36Z</dcterms:modified>
</cp:coreProperties>
</file>